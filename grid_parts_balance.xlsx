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ssumptions" sheetId="2" r:id="rId2"/>
    <sheet name="RowStages" sheetId="3" r:id="rId3"/>
    <sheet name="GridPricing" sheetId="4" r:id="rId4"/>
    <sheet name="PlotMap" sheetId="5" r:id="rId5"/>
    <sheet name="RebirthAnchors" sheetId="6" r:id="rId6"/>
  </sheets>
  <calcPr calcId="191029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wrapText="1" horizontal="center" vertical="center"/>
    </xf>
    <xf numFmtId="0" fontId="0" fillId="3" borderId="1" xfId="0" applyFill="1" applyBorder="1" applyAlignment="1">
      <alignment wrapText="1" horizontal="center" vertical="center"/>
    </xf>
    <xf numFmtId="0" fontId="1" fillId="4" borderId="1" xfId="0" applyFill="1" applyBorder="1" applyFont="1" applyAlignment="1">
      <alignment wrapText="1" horizontal="center" vertical="center"/>
    </xf>
    <xf numFmtId="0" fontId="1" fillId="5" borderId="1" xfId="0" applyFill="1" applyBorder="1" applyFont="1" applyAlignment="1">
      <alignment wrapText="1" horizontal="center" vertical="center"/>
    </xf>
    <xf numFmtId="0" fontId="0" fillId="6" borderId="1" xfId="0" applyFill="1" applyBorder="1" applyAlignment="1">
      <alignment wrapText="1" horizontal="center" vertical="center"/>
    </xf>
    <xf numFmtId="0" fontId="0" fillId="7" borderId="1" xfId="0" applyFill="1" applyBorder="1" applyAlignment="1">
      <alignment wrapText="1" horizontal="center" vertical="center"/>
    </xf>
    <xf numFmtId="0" fontId="0" fillId="2" borderId="1" xfId="0" applyFill="1" applyBorder="1" applyAlignment="1">
      <alignment wrapText="1"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8"/>
  <cols>
    <col min="1" max="1" width="26" customWidth="1"/>
    <col min="2" max="2" width="120" customWidth="1"/>
  </cols>
  <sheetData>
    <row r="1">
      <c r="A1" t="inlineStr" s="1">
        <is>
          <t xml:space="preserve">Grid Parts Balance Workbook</t>
        </is>
      </c>
    </row>
    <row r="2">
      <c r="A2" t="inlineStr">
        <is>
          <t xml:space="preserve">Purpose</t>
        </is>
      </c>
      <c r="B2" t="inlineStr">
        <is>
          <t xml:space="preserve">Balance plot GridPart unlock prices using actual Studio grid coordinates.</t>
        </is>
      </c>
    </row>
    <row r="3">
      <c r="A3" t="inlineStr">
        <is>
          <t xml:space="preserve">How to use</t>
        </is>
      </c>
      <c r="B3" t="inlineStr">
        <is>
          <t xml:space="preserve">Edit CurrentPrice in RowStages or per-cell CurrentPrice in GridPricing. PlotMap reads the current prices for a visual reference.</t>
        </is>
      </c>
    </row>
    <row r="4">
      <c r="A4" t="inlineStr">
        <is>
          <t xml:space="preserve">Final row rule</t>
        </is>
      </c>
      <c r="B4" t="inlineStr">
        <is>
          <t xml:space="preserve">Grid numbers 46-50 are the furthest row from StarterPlot and each cost 5 hours at 6x T-Rex earnings.</t>
        </is>
      </c>
    </row>
    <row r="5">
      <c r="A5" t="inlineStr">
        <is>
          <t xml:space="preserve">Implementation note</t>
        </is>
      </c>
      <c r="B5" t="inlineStr">
        <is>
          <t xml:space="preserve">This workbook is a balance/export artifact. It does not apply Studio UnlockPrice attributes by itself.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18" customWidth="1"/>
    <col min="3" max="3" width="86" customWidth="1"/>
  </cols>
  <sheetData>
    <row r="1">
      <c r="A1" t="inlineStr" s="1">
        <is>
          <t xml:space="preserve">Key</t>
        </is>
      </c>
      <c r="B1" t="inlineStr" s="1">
        <is>
          <t xml:space="preserve">Value</t>
        </is>
      </c>
      <c r="C1" t="inlineStr" s="1">
        <is>
          <t xml:space="preserve">Description</t>
        </is>
      </c>
    </row>
    <row r="2">
      <c r="A2" t="inlineStr">
        <is>
          <t xml:space="preserve">T-RexEarnRate</t>
        </is>
      </c>
      <c r="B2">
        <v>800</v>
      </c>
      <c r="C2" t="inlineStr">
        <is>
          <t xml:space="preserve">T-Rex pet MoneyRate per second from the current pet balance.</t>
        </is>
      </c>
    </row>
    <row r="3">
      <c r="A3" t="inlineStr">
        <is>
          <t xml:space="preserve">FinalRebirthMultiplier</t>
        </is>
      </c>
      <c r="B3">
        <v>6</v>
      </c>
      <c r="C3" t="inlineStr">
        <is>
          <t xml:space="preserve">Final row target assumes 6x T-Rex earnings.</t>
        </is>
      </c>
    </row>
    <row r="4">
      <c r="A4" t="inlineStr">
        <is>
          <t xml:space="preserve">FinalIncomePerSecond</t>
        </is>
      </c>
      <c r="B4">
        <f>B2*B3</f>
      </c>
      <c r="C4" t="inlineStr">
        <is>
          <t xml:space="preserve">6x T-Rex earnings per second.</t>
        </is>
      </c>
    </row>
    <row r="5">
      <c r="A5" t="inlineStr">
        <is>
          <t xml:space="preserve">FinalHoursPerCell</t>
        </is>
      </c>
      <c r="B5">
        <v>5</v>
      </c>
      <c r="C5" t="inlineStr">
        <is>
          <t xml:space="preserve">Requested final-row cost per grid cell.</t>
        </is>
      </c>
    </row>
    <row r="6">
      <c r="A6" t="inlineStr">
        <is>
          <t xml:space="preserve">FinalRowPricePerCell</t>
        </is>
      </c>
      <c r="B6">
        <f>B4*B5*3600</f>
      </c>
      <c r="C6" t="inlineStr">
        <is>
          <t xml:space="preserve">Final 5 cells should each equal this.</t>
        </is>
      </c>
    </row>
  </sheetData>
  <autoFilter ref="A1:C6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FormatPr defaultRowHeight="18"/>
  <cols>
    <col min="1" max="1" width="9" customWidth="1"/>
    <col min="2" max="2" width="20" customWidth="1"/>
    <col min="3" max="3" width="24" customWidth="1"/>
    <col min="4" max="4" width="18" customWidth="1"/>
    <col min="5" max="5" width="20" customWidth="1"/>
    <col min="6" max="6" width="20" customWidth="1"/>
    <col min="7" max="7" width="16" customWidth="1"/>
    <col min="8" max="8" width="12" customWidth="1"/>
    <col min="9" max="9" width="22" customWidth="1"/>
    <col min="10" max="10" width="16" customWidth="1"/>
    <col min="11" max="11" width="40" customWidth="1"/>
  </cols>
  <sheetData>
    <row r="1">
      <c r="A1" t="inlineStr" s="1">
        <is>
          <t xml:space="preserve">GridZ</t>
        </is>
      </c>
      <c r="B1" t="inlineStr" s="1">
        <is>
          <t xml:space="preserve">Stage</t>
        </is>
      </c>
      <c r="C1" t="inlineStr" s="1">
        <is>
          <t xml:space="preserve">AnchorIncomeSource</t>
        </is>
      </c>
      <c r="D1" t="inlineStr" s="1">
        <is>
          <t xml:space="preserve">IncomePerSecond</t>
        </is>
      </c>
      <c r="E1" t="inlineStr" s="1">
        <is>
          <t xml:space="preserve">TargetHoursPerCell</t>
        </is>
      </c>
      <c r="F1" t="inlineStr" s="1">
        <is>
          <t xml:space="preserve">TargetMinutesPerCell</t>
        </is>
      </c>
      <c r="G1" t="inlineStr" s="1">
        <is>
          <t xml:space="preserve">FormulaPrice</t>
        </is>
      </c>
      <c r="H1" t="inlineStr" s="1">
        <is>
          <t xml:space="preserve">RoundTo</t>
        </is>
      </c>
      <c r="I1" t="inlineStr" s="1">
        <is>
          <t xml:space="preserve">SuggestedRoundedPrice</t>
        </is>
      </c>
      <c r="J1" t="inlineStr" s="1">
        <is>
          <t xml:space="preserve">CurrentPrice</t>
        </is>
      </c>
      <c r="K1" t="inlineStr" s="1">
        <is>
          <t xml:space="preserve">Notes</t>
        </is>
      </c>
    </row>
    <row r="2">
      <c r="A2">
        <v>1</v>
      </c>
      <c r="B2" t="inlineStr">
        <is>
          <t xml:space="preserve">Starter expansion</t>
        </is>
      </c>
      <c r="C2" t="inlineStr">
        <is>
          <t xml:space="preserve">Pet10 Goat</t>
        </is>
      </c>
      <c r="D2">
        <v>14</v>
      </c>
      <c r="E2">
        <v>0.016666666666666666</v>
      </c>
      <c r="F2">
        <f>E2*60</f>
      </c>
      <c r="G2">
        <f>D2*E2*3600</f>
      </c>
      <c r="H2">
        <v>100</v>
      </c>
      <c r="I2">
        <f>ROUND(G2/H2,0)*H2</f>
      </c>
      <c r="J2">
        <v>1000</v>
      </c>
      <c r="K2"/>
    </row>
    <row r="3">
      <c r="A3">
        <v>2</v>
      </c>
      <c r="B3" t="inlineStr">
        <is>
          <t xml:space="preserve">Rebirth 1 prep</t>
        </is>
      </c>
      <c r="C3" t="inlineStr">
        <is>
          <t xml:space="preserve">1x GoldenRetriver</t>
        </is>
      </c>
      <c r="D3">
        <v>24</v>
      </c>
      <c r="E3">
        <v>0.08333333333333333</v>
      </c>
      <c r="F3">
        <f>E3*60</f>
      </c>
      <c r="G3">
        <f>D3*E3*3600</f>
      </c>
      <c r="H3">
        <v>500</v>
      </c>
      <c r="I3">
        <f>ROUND(G3/H3,0)*H3</f>
      </c>
      <c r="J3">
        <v>10000</v>
      </c>
      <c r="K3"/>
    </row>
    <row r="4">
      <c r="A4">
        <v>3</v>
      </c>
      <c r="B4" t="inlineStr">
        <is>
          <t xml:space="preserve">Rebirth 2 prep</t>
        </is>
      </c>
      <c r="C4" t="inlineStr">
        <is>
          <t xml:space="preserve">2x Lizard</t>
        </is>
      </c>
      <c r="D4">
        <v>80</v>
      </c>
      <c r="E4">
        <v>0.16666666666666666</v>
      </c>
      <c r="F4">
        <f>E4*60</f>
      </c>
      <c r="G4">
        <f>D4*E4*3600</f>
      </c>
      <c r="H4">
        <v>1000</v>
      </c>
      <c r="I4">
        <f>ROUND(G4/H4,0)*H4</f>
      </c>
      <c r="J4">
        <v>50000</v>
      </c>
      <c r="K4"/>
    </row>
    <row r="5">
      <c r="A5">
        <v>4</v>
      </c>
      <c r="B5" t="inlineStr">
        <is>
          <t xml:space="preserve">Rebirth 3 prep</t>
        </is>
      </c>
      <c r="C5" t="inlineStr">
        <is>
          <t xml:space="preserve">3x Ostrich</t>
        </is>
      </c>
      <c r="D5">
        <v>339</v>
      </c>
      <c r="E5">
        <v>0.25</v>
      </c>
      <c r="F5">
        <f>E5*60</f>
      </c>
      <c r="G5">
        <f>D5*E5*3600</f>
      </c>
      <c r="H5">
        <v>5000</v>
      </c>
      <c r="I5">
        <f>ROUND(G5/H5,0)*H5</f>
      </c>
      <c r="J5">
        <v>300000</v>
      </c>
      <c r="K5"/>
    </row>
    <row r="6">
      <c r="A6">
        <v>5</v>
      </c>
      <c r="B6" t="inlineStr">
        <is>
          <t xml:space="preserve">Rebirth 4 prep</t>
        </is>
      </c>
      <c r="C6" t="inlineStr">
        <is>
          <t xml:space="preserve">4x Gorilla</t>
        </is>
      </c>
      <c r="D6">
        <v>912</v>
      </c>
      <c r="E6">
        <v>0.3333333333333333</v>
      </c>
      <c r="F6">
        <f>E6*60</f>
      </c>
      <c r="G6">
        <f>D6*E6*3600</f>
      </c>
      <c r="H6">
        <v>10000</v>
      </c>
      <c r="I6">
        <f>ROUND(G6/H6,0)*H6</f>
      </c>
      <c r="J6">
        <v>1000000</v>
      </c>
      <c r="K6"/>
    </row>
    <row r="7">
      <c r="A7">
        <v>6</v>
      </c>
      <c r="B7" t="inlineStr">
        <is>
          <t xml:space="preserve">Rebirth 5 prep</t>
        </is>
      </c>
      <c r="C7" t="inlineStr">
        <is>
          <t xml:space="preserve">5x Snake</t>
        </is>
      </c>
      <c r="D7">
        <v>1975</v>
      </c>
      <c r="E7">
        <v>0.5</v>
      </c>
      <c r="F7">
        <f>E7*60</f>
      </c>
      <c r="G7">
        <f>D7*E7*3600</f>
      </c>
      <c r="H7">
        <v>50000</v>
      </c>
      <c r="I7">
        <f>ROUND(G7/H7,0)*H7</f>
      </c>
      <c r="J7">
        <v>3500000</v>
      </c>
      <c r="K7"/>
    </row>
    <row r="8">
      <c r="A8">
        <v>7</v>
      </c>
      <c r="B8" t="inlineStr">
        <is>
          <t xml:space="preserve">Rebirth 6 ramp</t>
        </is>
      </c>
      <c r="C8" t="inlineStr">
        <is>
          <t xml:space="preserve">6x T-Rex</t>
        </is>
      </c>
      <c r="D8">
        <v>4800</v>
      </c>
      <c r="E8">
        <v>0.75</v>
      </c>
      <c r="F8">
        <f>E8*60</f>
      </c>
      <c r="G8">
        <f>D8*E8*3600</f>
      </c>
      <c r="H8">
        <v>100000</v>
      </c>
      <c r="I8">
        <f>ROUND(G8/H8,0)*H8</f>
      </c>
      <c r="J8">
        <v>13000000</v>
      </c>
      <c r="K8"/>
    </row>
    <row r="9">
      <c r="A9">
        <v>8</v>
      </c>
      <c r="B9" t="inlineStr">
        <is>
          <t xml:space="preserve">Rebirth 6 ramp</t>
        </is>
      </c>
      <c r="C9" t="inlineStr">
        <is>
          <t xml:space="preserve">6x T-Rex</t>
        </is>
      </c>
      <c r="D9">
        <v>4800</v>
      </c>
      <c r="E9">
        <v>1.5</v>
      </c>
      <c r="F9">
        <f>E9*60</f>
      </c>
      <c r="G9">
        <f>D9*E9*3600</f>
      </c>
      <c r="H9">
        <v>100000</v>
      </c>
      <c r="I9">
        <f>ROUND(G9/H9,0)*H9</f>
      </c>
      <c r="J9">
        <v>26000000</v>
      </c>
      <c r="K9"/>
    </row>
    <row r="10">
      <c r="A10">
        <v>9</v>
      </c>
      <c r="B10" t="inlineStr">
        <is>
          <t xml:space="preserve">Rebirth 6 endgame</t>
        </is>
      </c>
      <c r="C10" t="inlineStr">
        <is>
          <t xml:space="preserve">6x T-Rex</t>
        </is>
      </c>
      <c r="D10">
        <v>4800</v>
      </c>
      <c r="E10">
        <v>2.5</v>
      </c>
      <c r="F10">
        <f>E10*60</f>
      </c>
      <c r="G10">
        <f>D10*E10*3600</f>
      </c>
      <c r="H10">
        <v>100000</v>
      </c>
      <c r="I10">
        <f>ROUND(G10/H10,0)*H10</f>
      </c>
      <c r="J10">
        <v>43200000</v>
      </c>
      <c r="K10"/>
    </row>
    <row r="11">
      <c r="A11">
        <v>10</v>
      </c>
      <c r="B11" t="inlineStr">
        <is>
          <t xml:space="preserve">Final row</t>
        </is>
      </c>
      <c r="C11" t="inlineStr">
        <is>
          <t xml:space="preserve">6x T-Rex</t>
        </is>
      </c>
      <c r="D11">
        <v>4800</v>
      </c>
      <c r="E11">
        <v>5</v>
      </c>
      <c r="F11">
        <f>E11*60</f>
      </c>
      <c r="G11">
        <f>D11*E11*3600</f>
      </c>
      <c r="H11">
        <v>100000</v>
      </c>
      <c r="I11">
        <f>ROUND(G11/H11,0)*H11</f>
      </c>
      <c r="J11">
        <v>86400000</v>
      </c>
      <c r="K11" t="inlineStr">
        <is>
          <t xml:space="preserve">Final 5 cells: exact 5h at 6x T-Rex</t>
        </is>
      </c>
    </row>
  </sheetData>
  <autoFilter ref="A1:K11"/>
</worksheet>
</file>

<file path=xl/worksheets/sheet4.xml><?xml version="1.0" encoding="utf-8"?>
<worksheet xmlns="http://schemas.openxmlformats.org/spreadsheetml/2006/main">
  <dimension ref="A1:P51"/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8" customWidth="1"/>
    <col min="3" max="3" width="8" customWidth="1"/>
    <col min="4" max="4" width="12" customWidth="1"/>
    <col min="5" max="5" width="14" customWidth="1"/>
    <col min="6" max="6" width="22" customWidth="1"/>
    <col min="7" max="7" width="20" customWidth="1"/>
    <col min="8" max="8" width="24" customWidth="1"/>
    <col min="9" max="9" width="18" customWidth="1"/>
    <col min="10" max="10" width="14" customWidth="1"/>
    <col min="11" max="11" width="16" customWidth="1"/>
    <col min="12" max="12" width="12" customWidth="1"/>
    <col min="13" max="13" width="18" customWidth="1"/>
    <col min="14" max="14" width="16" customWidth="1"/>
    <col min="15" max="15" width="18" customWidth="1"/>
    <col min="16" max="16" width="34" customWidth="1"/>
  </cols>
  <sheetData>
    <row r="1">
      <c r="A1" t="inlineStr" s="1">
        <is>
          <t xml:space="preserve">GridNo</t>
        </is>
      </c>
      <c r="B1" t="inlineStr" s="1">
        <is>
          <t xml:space="preserve">GridX</t>
        </is>
      </c>
      <c r="C1" t="inlineStr" s="1">
        <is>
          <t xml:space="preserve">GridZ</t>
        </is>
      </c>
      <c r="D1" t="inlineStr" s="1">
        <is>
          <t xml:space="preserve">CoordKey</t>
        </is>
      </c>
      <c r="E1" t="inlineStr" s="1">
        <is>
          <t xml:space="preserve">Type</t>
        </is>
      </c>
      <c r="F1" t="inlineStr" s="1">
        <is>
          <t xml:space="preserve">DistanceRowsFromStarter</t>
        </is>
      </c>
      <c r="G1" t="inlineStr" s="1">
        <is>
          <t xml:space="preserve">Stage</t>
        </is>
      </c>
      <c r="H1" t="inlineStr" s="1">
        <is>
          <t xml:space="preserve">AnchorIncomeSource</t>
        </is>
      </c>
      <c r="I1" t="inlineStr" s="1">
        <is>
          <t xml:space="preserve">IncomePerSecond</t>
        </is>
      </c>
      <c r="J1" t="inlineStr" s="1">
        <is>
          <t xml:space="preserve">TargetHours</t>
        </is>
      </c>
      <c r="K1" t="inlineStr" s="1">
        <is>
          <t xml:space="preserve">FormulaPrice</t>
        </is>
      </c>
      <c r="L1" t="inlineStr" s="1">
        <is>
          <t xml:space="preserve">RoundTo</t>
        </is>
      </c>
      <c r="M1" t="inlineStr" s="1">
        <is>
          <t xml:space="preserve">RowSuggestedPrice</t>
        </is>
      </c>
      <c r="N1" t="inlineStr" s="1">
        <is>
          <t xml:space="preserve">CurrentPrice</t>
        </is>
      </c>
      <c r="O1" t="inlineStr" s="1">
        <is>
          <t xml:space="preserve">ExistingStudioPrice</t>
        </is>
      </c>
      <c r="P1" t="inlineStr" s="1">
        <is>
          <t xml:space="preserve">Notes</t>
        </is>
      </c>
    </row>
    <row r="2">
      <c r="A2">
        <v>1</v>
      </c>
      <c r="B2">
        <v>1</v>
      </c>
      <c r="C2">
        <v>1</v>
      </c>
      <c r="D2" t="inlineStr">
        <is>
          <t xml:space="preserve">1:1</t>
        </is>
      </c>
      <c r="E2" t="inlineStr">
        <is>
          <t xml:space="preserve">Unlockable</t>
        </is>
      </c>
      <c r="F2">
        <f>C2-1</f>
      </c>
      <c r="G2">
        <f>VLOOKUP(C2,RowStages!$A:$J,2,FALSE)</f>
      </c>
      <c r="H2">
        <f>VLOOKUP(C2,RowStages!$A:$J,3,FALSE)</f>
      </c>
      <c r="I2">
        <f>VLOOKUP(C2,RowStages!$A:$J,4,FALSE)</f>
      </c>
      <c r="J2">
        <f>VLOOKUP(C2,RowStages!$A:$J,5,FALSE)</f>
      </c>
      <c r="K2">
        <f>IF(E2="Starter",0,I2*J2*3600)</f>
      </c>
      <c r="L2">
        <f>VLOOKUP(C2,RowStages!$A:$J,8,FALSE)</f>
      </c>
      <c r="M2">
        <f>IF(E2="Starter",0,ROUND(K2/L2,0)*L2)</f>
      </c>
      <c r="N2">
        <v>1000</v>
      </c>
      <c r="O2">
        <v>3</v>
      </c>
      <c r="P2"/>
    </row>
    <row r="3">
      <c r="A3">
        <v>2</v>
      </c>
      <c r="B3">
        <v>2</v>
      </c>
      <c r="C3">
        <v>1</v>
      </c>
      <c r="D3" t="inlineStr">
        <is>
          <t xml:space="preserve">2:1</t>
        </is>
      </c>
      <c r="E3" t="inlineStr">
        <is>
          <t xml:space="preserve">Unlockable</t>
        </is>
      </c>
      <c r="F3">
        <f>C3-1</f>
      </c>
      <c r="G3">
        <f>VLOOKUP(C3,RowStages!$A:$J,2,FALSE)</f>
      </c>
      <c r="H3">
        <f>VLOOKUP(C3,RowStages!$A:$J,3,FALSE)</f>
      </c>
      <c r="I3">
        <f>VLOOKUP(C3,RowStages!$A:$J,4,FALSE)</f>
      </c>
      <c r="J3">
        <f>VLOOKUP(C3,RowStages!$A:$J,5,FALSE)</f>
      </c>
      <c r="K3">
        <f>IF(E3="Starter",0,I3*J3*3600)</f>
      </c>
      <c r="L3">
        <f>VLOOKUP(C3,RowStages!$A:$J,8,FALSE)</f>
      </c>
      <c r="M3">
        <f>IF(E3="Starter",0,ROUND(K3/L3,0)*L3)</f>
      </c>
      <c r="N3">
        <v>100</v>
      </c>
      <c r="O3">
        <v>100</v>
      </c>
      <c r="P3"/>
    </row>
    <row r="4">
      <c r="A4">
        <v>3</v>
      </c>
      <c r="B4">
        <v>3</v>
      </c>
      <c r="C4">
        <v>1</v>
      </c>
      <c r="D4" t="inlineStr">
        <is>
          <t xml:space="preserve">3:1</t>
        </is>
      </c>
      <c r="E4" t="inlineStr">
        <is>
          <t xml:space="preserve">Starter</t>
        </is>
      </c>
      <c r="F4">
        <f>C4-1</f>
      </c>
      <c r="G4">
        <f>VLOOKUP(C4,RowStages!$A:$J,2,FALSE)</f>
      </c>
      <c r="H4">
        <f>VLOOKUP(C4,RowStages!$A:$J,3,FALSE)</f>
      </c>
      <c r="I4">
        <f>VLOOKUP(C4,RowStages!$A:$J,4,FALSE)</f>
      </c>
      <c r="J4">
        <f>VLOOKUP(C4,RowStages!$A:$J,5,FALSE)</f>
      </c>
      <c r="K4">
        <f>IF(E4="Starter",0,I4*J4*3600)</f>
      </c>
      <c r="L4">
        <f>VLOOKUP(C4,RowStages!$A:$J,8,FALSE)</f>
      </c>
      <c r="M4">
        <f>IF(E4="Starter",0,ROUND(K4/L4,0)*L4)</f>
      </c>
      <c r="N4">
        <v>0</v>
      </c>
      <c r="O4">
        <v>0</v>
      </c>
      <c r="P4" t="inlineStr">
        <is>
          <t xml:space="preserve">StarterPlot</t>
        </is>
      </c>
    </row>
    <row r="5">
      <c r="A5">
        <v>4</v>
      </c>
      <c r="B5">
        <v>4</v>
      </c>
      <c r="C5">
        <v>1</v>
      </c>
      <c r="D5" t="inlineStr">
        <is>
          <t xml:space="preserve">4:1</t>
        </is>
      </c>
      <c r="E5" t="inlineStr">
        <is>
          <t xml:space="preserve">Unlockable</t>
        </is>
      </c>
      <c r="F5">
        <f>C5-1</f>
      </c>
      <c r="G5">
        <f>VLOOKUP(C5,RowStages!$A:$J,2,FALSE)</f>
      </c>
      <c r="H5">
        <f>VLOOKUP(C5,RowStages!$A:$J,3,FALSE)</f>
      </c>
      <c r="I5">
        <f>VLOOKUP(C5,RowStages!$A:$J,4,FALSE)</f>
      </c>
      <c r="J5">
        <f>VLOOKUP(C5,RowStages!$A:$J,5,FALSE)</f>
      </c>
      <c r="K5">
        <f>IF(E5="Starter",0,I5*J5*3600)</f>
      </c>
      <c r="L5">
        <f>VLOOKUP(C5,RowStages!$A:$J,8,FALSE)</f>
      </c>
      <c r="M5">
        <f>IF(E5="Starter",0,ROUND(K5/L5,0)*L5)</f>
      </c>
      <c r="N5">
        <v>1000</v>
      </c>
      <c r="O5">
        <v>3</v>
      </c>
      <c r="P5"/>
    </row>
    <row r="6">
      <c r="A6">
        <v>5</v>
      </c>
      <c r="B6">
        <v>5</v>
      </c>
      <c r="C6">
        <v>1</v>
      </c>
      <c r="D6" t="inlineStr">
        <is>
          <t xml:space="preserve">5:1</t>
        </is>
      </c>
      <c r="E6" t="inlineStr">
        <is>
          <t xml:space="preserve">Unlockable</t>
        </is>
      </c>
      <c r="F6">
        <f>C6-1</f>
      </c>
      <c r="G6">
        <f>VLOOKUP(C6,RowStages!$A:$J,2,FALSE)</f>
      </c>
      <c r="H6">
        <f>VLOOKUP(C6,RowStages!$A:$J,3,FALSE)</f>
      </c>
      <c r="I6">
        <f>VLOOKUP(C6,RowStages!$A:$J,4,FALSE)</f>
      </c>
      <c r="J6">
        <f>VLOOKUP(C6,RowStages!$A:$J,5,FALSE)</f>
      </c>
      <c r="K6">
        <f>IF(E6="Starter",0,I6*J6*3600)</f>
      </c>
      <c r="L6">
        <f>VLOOKUP(C6,RowStages!$A:$J,8,FALSE)</f>
      </c>
      <c r="M6">
        <f>IF(E6="Starter",0,ROUND(K6/L6,0)*L6)</f>
      </c>
      <c r="N6">
        <v>1000</v>
      </c>
      <c r="O6">
        <v>3</v>
      </c>
      <c r="P6"/>
    </row>
    <row r="7">
      <c r="A7">
        <v>6</v>
      </c>
      <c r="B7">
        <v>1</v>
      </c>
      <c r="C7">
        <v>2</v>
      </c>
      <c r="D7" t="inlineStr">
        <is>
          <t xml:space="preserve">1:2</t>
        </is>
      </c>
      <c r="E7" t="inlineStr">
        <is>
          <t xml:space="preserve">Unlockable</t>
        </is>
      </c>
      <c r="F7">
        <f>C7-1</f>
      </c>
      <c r="G7">
        <f>VLOOKUP(C7,RowStages!$A:$J,2,FALSE)</f>
      </c>
      <c r="H7">
        <f>VLOOKUP(C7,RowStages!$A:$J,3,FALSE)</f>
      </c>
      <c r="I7">
        <f>VLOOKUP(C7,RowStages!$A:$J,4,FALSE)</f>
      </c>
      <c r="J7">
        <f>VLOOKUP(C7,RowStages!$A:$J,5,FALSE)</f>
      </c>
      <c r="K7">
        <f>IF(E7="Starter",0,I7*J7*3600)</f>
      </c>
      <c r="L7">
        <f>VLOOKUP(C7,RowStages!$A:$J,8,FALSE)</f>
      </c>
      <c r="M7">
        <f>IF(E7="Starter",0,ROUND(K7/L7,0)*L7)</f>
      </c>
      <c r="N7">
        <v>10000</v>
      </c>
      <c r="O7">
        <v>3</v>
      </c>
      <c r="P7"/>
    </row>
    <row r="8">
      <c r="A8">
        <v>7</v>
      </c>
      <c r="B8">
        <v>2</v>
      </c>
      <c r="C8">
        <v>2</v>
      </c>
      <c r="D8" t="inlineStr">
        <is>
          <t xml:space="preserve">2:2</t>
        </is>
      </c>
      <c r="E8" t="inlineStr">
        <is>
          <t xml:space="preserve">Unlockable</t>
        </is>
      </c>
      <c r="F8">
        <f>C8-1</f>
      </c>
      <c r="G8">
        <f>VLOOKUP(C8,RowStages!$A:$J,2,FALSE)</f>
      </c>
      <c r="H8">
        <f>VLOOKUP(C8,RowStages!$A:$J,3,FALSE)</f>
      </c>
      <c r="I8">
        <f>VLOOKUP(C8,RowStages!$A:$J,4,FALSE)</f>
      </c>
      <c r="J8">
        <f>VLOOKUP(C8,RowStages!$A:$J,5,FALSE)</f>
      </c>
      <c r="K8">
        <f>IF(E8="Starter",0,I8*J8*3600)</f>
      </c>
      <c r="L8">
        <f>VLOOKUP(C8,RowStages!$A:$J,8,FALSE)</f>
      </c>
      <c r="M8">
        <f>IF(E8="Starter",0,ROUND(K8/L8,0)*L8)</f>
      </c>
      <c r="N8">
        <v>10000</v>
      </c>
      <c r="O8">
        <v>3</v>
      </c>
      <c r="P8"/>
    </row>
    <row r="9">
      <c r="A9">
        <v>8</v>
      </c>
      <c r="B9">
        <v>3</v>
      </c>
      <c r="C9">
        <v>2</v>
      </c>
      <c r="D9" t="inlineStr">
        <is>
          <t xml:space="preserve">3:2</t>
        </is>
      </c>
      <c r="E9" t="inlineStr">
        <is>
          <t xml:space="preserve">Unlockable</t>
        </is>
      </c>
      <c r="F9">
        <f>C9-1</f>
      </c>
      <c r="G9">
        <f>VLOOKUP(C9,RowStages!$A:$J,2,FALSE)</f>
      </c>
      <c r="H9">
        <f>VLOOKUP(C9,RowStages!$A:$J,3,FALSE)</f>
      </c>
      <c r="I9">
        <f>VLOOKUP(C9,RowStages!$A:$J,4,FALSE)</f>
      </c>
      <c r="J9">
        <f>VLOOKUP(C9,RowStages!$A:$J,5,FALSE)</f>
      </c>
      <c r="K9">
        <f>IF(E9="Starter",0,I9*J9*3600)</f>
      </c>
      <c r="L9">
        <f>VLOOKUP(C9,RowStages!$A:$J,8,FALSE)</f>
      </c>
      <c r="M9">
        <f>IF(E9="Starter",0,ROUND(K9/L9,0)*L9)</f>
      </c>
      <c r="N9">
        <v>10000</v>
      </c>
      <c r="O9">
        <v>3</v>
      </c>
      <c r="P9"/>
    </row>
    <row r="10">
      <c r="A10">
        <v>9</v>
      </c>
      <c r="B10">
        <v>4</v>
      </c>
      <c r="C10">
        <v>2</v>
      </c>
      <c r="D10" t="inlineStr">
        <is>
          <t xml:space="preserve">4:2</t>
        </is>
      </c>
      <c r="E10" t="inlineStr">
        <is>
          <t xml:space="preserve">Unlockable</t>
        </is>
      </c>
      <c r="F10">
        <f>C10-1</f>
      </c>
      <c r="G10">
        <f>VLOOKUP(C10,RowStages!$A:$J,2,FALSE)</f>
      </c>
      <c r="H10">
        <f>VLOOKUP(C10,RowStages!$A:$J,3,FALSE)</f>
      </c>
      <c r="I10">
        <f>VLOOKUP(C10,RowStages!$A:$J,4,FALSE)</f>
      </c>
      <c r="J10">
        <f>VLOOKUP(C10,RowStages!$A:$J,5,FALSE)</f>
      </c>
      <c r="K10">
        <f>IF(E10="Starter",0,I10*J10*3600)</f>
      </c>
      <c r="L10">
        <f>VLOOKUP(C10,RowStages!$A:$J,8,FALSE)</f>
      </c>
      <c r="M10">
        <f>IF(E10="Starter",0,ROUND(K10/L10,0)*L10)</f>
      </c>
      <c r="N10">
        <v>10000</v>
      </c>
      <c r="O10">
        <v>3</v>
      </c>
      <c r="P10"/>
    </row>
    <row r="11">
      <c r="A11">
        <v>10</v>
      </c>
      <c r="B11">
        <v>5</v>
      </c>
      <c r="C11">
        <v>2</v>
      </c>
      <c r="D11" t="inlineStr">
        <is>
          <t xml:space="preserve">5:2</t>
        </is>
      </c>
      <c r="E11" t="inlineStr">
        <is>
          <t xml:space="preserve">Unlockable</t>
        </is>
      </c>
      <c r="F11">
        <f>C11-1</f>
      </c>
      <c r="G11">
        <f>VLOOKUP(C11,RowStages!$A:$J,2,FALSE)</f>
      </c>
      <c r="H11">
        <f>VLOOKUP(C11,RowStages!$A:$J,3,FALSE)</f>
      </c>
      <c r="I11">
        <f>VLOOKUP(C11,RowStages!$A:$J,4,FALSE)</f>
      </c>
      <c r="J11">
        <f>VLOOKUP(C11,RowStages!$A:$J,5,FALSE)</f>
      </c>
      <c r="K11">
        <f>IF(E11="Starter",0,I11*J11*3600)</f>
      </c>
      <c r="L11">
        <f>VLOOKUP(C11,RowStages!$A:$J,8,FALSE)</f>
      </c>
      <c r="M11">
        <f>IF(E11="Starter",0,ROUND(K11/L11,0)*L11)</f>
      </c>
      <c r="N11">
        <v>10000</v>
      </c>
      <c r="O11">
        <v>3</v>
      </c>
      <c r="P11"/>
    </row>
    <row r="12">
      <c r="A12">
        <v>11</v>
      </c>
      <c r="B12">
        <v>1</v>
      </c>
      <c r="C12">
        <v>3</v>
      </c>
      <c r="D12" t="inlineStr">
        <is>
          <t xml:space="preserve">1:3</t>
        </is>
      </c>
      <c r="E12" t="inlineStr">
        <is>
          <t xml:space="preserve">Unlockable</t>
        </is>
      </c>
      <c r="F12">
        <f>C12-1</f>
      </c>
      <c r="G12">
        <f>VLOOKUP(C12,RowStages!$A:$J,2,FALSE)</f>
      </c>
      <c r="H12">
        <f>VLOOKUP(C12,RowStages!$A:$J,3,FALSE)</f>
      </c>
      <c r="I12">
        <f>VLOOKUP(C12,RowStages!$A:$J,4,FALSE)</f>
      </c>
      <c r="J12">
        <f>VLOOKUP(C12,RowStages!$A:$J,5,FALSE)</f>
      </c>
      <c r="K12">
        <f>IF(E12="Starter",0,I12*J12*3600)</f>
      </c>
      <c r="L12">
        <f>VLOOKUP(C12,RowStages!$A:$J,8,FALSE)</f>
      </c>
      <c r="M12">
        <f>IF(E12="Starter",0,ROUND(K12/L12,0)*L12)</f>
      </c>
      <c r="N12">
        <v>50000</v>
      </c>
      <c r="O12">
        <v>3</v>
      </c>
      <c r="P12"/>
    </row>
    <row r="13">
      <c r="A13">
        <v>12</v>
      </c>
      <c r="B13">
        <v>2</v>
      </c>
      <c r="C13">
        <v>3</v>
      </c>
      <c r="D13" t="inlineStr">
        <is>
          <t xml:space="preserve">2:3</t>
        </is>
      </c>
      <c r="E13" t="inlineStr">
        <is>
          <t xml:space="preserve">Unlockable</t>
        </is>
      </c>
      <c r="F13">
        <f>C13-1</f>
      </c>
      <c r="G13">
        <f>VLOOKUP(C13,RowStages!$A:$J,2,FALSE)</f>
      </c>
      <c r="H13">
        <f>VLOOKUP(C13,RowStages!$A:$J,3,FALSE)</f>
      </c>
      <c r="I13">
        <f>VLOOKUP(C13,RowStages!$A:$J,4,FALSE)</f>
      </c>
      <c r="J13">
        <f>VLOOKUP(C13,RowStages!$A:$J,5,FALSE)</f>
      </c>
      <c r="K13">
        <f>IF(E13="Starter",0,I13*J13*3600)</f>
      </c>
      <c r="L13">
        <f>VLOOKUP(C13,RowStages!$A:$J,8,FALSE)</f>
      </c>
      <c r="M13">
        <f>IF(E13="Starter",0,ROUND(K13/L13,0)*L13)</f>
      </c>
      <c r="N13">
        <v>50000</v>
      </c>
      <c r="O13">
        <v>3</v>
      </c>
      <c r="P13"/>
    </row>
    <row r="14">
      <c r="A14">
        <v>13</v>
      </c>
      <c r="B14">
        <v>3</v>
      </c>
      <c r="C14">
        <v>3</v>
      </c>
      <c r="D14" t="inlineStr">
        <is>
          <t xml:space="preserve">3:3</t>
        </is>
      </c>
      <c r="E14" t="inlineStr">
        <is>
          <t xml:space="preserve">Unlockable</t>
        </is>
      </c>
      <c r="F14">
        <f>C14-1</f>
      </c>
      <c r="G14">
        <f>VLOOKUP(C14,RowStages!$A:$J,2,FALSE)</f>
      </c>
      <c r="H14">
        <f>VLOOKUP(C14,RowStages!$A:$J,3,FALSE)</f>
      </c>
      <c r="I14">
        <f>VLOOKUP(C14,RowStages!$A:$J,4,FALSE)</f>
      </c>
      <c r="J14">
        <f>VLOOKUP(C14,RowStages!$A:$J,5,FALSE)</f>
      </c>
      <c r="K14">
        <f>IF(E14="Starter",0,I14*J14*3600)</f>
      </c>
      <c r="L14">
        <f>VLOOKUP(C14,RowStages!$A:$J,8,FALSE)</f>
      </c>
      <c r="M14">
        <f>IF(E14="Starter",0,ROUND(K14/L14,0)*L14)</f>
      </c>
      <c r="N14">
        <v>50000</v>
      </c>
      <c r="O14">
        <v>3</v>
      </c>
      <c r="P14"/>
    </row>
    <row r="15">
      <c r="A15">
        <v>14</v>
      </c>
      <c r="B15">
        <v>4</v>
      </c>
      <c r="C15">
        <v>3</v>
      </c>
      <c r="D15" t="inlineStr">
        <is>
          <t xml:space="preserve">4:3</t>
        </is>
      </c>
      <c r="E15" t="inlineStr">
        <is>
          <t xml:space="preserve">Unlockable</t>
        </is>
      </c>
      <c r="F15">
        <f>C15-1</f>
      </c>
      <c r="G15">
        <f>VLOOKUP(C15,RowStages!$A:$J,2,FALSE)</f>
      </c>
      <c r="H15">
        <f>VLOOKUP(C15,RowStages!$A:$J,3,FALSE)</f>
      </c>
      <c r="I15">
        <f>VLOOKUP(C15,RowStages!$A:$J,4,FALSE)</f>
      </c>
      <c r="J15">
        <f>VLOOKUP(C15,RowStages!$A:$J,5,FALSE)</f>
      </c>
      <c r="K15">
        <f>IF(E15="Starter",0,I15*J15*3600)</f>
      </c>
      <c r="L15">
        <f>VLOOKUP(C15,RowStages!$A:$J,8,FALSE)</f>
      </c>
      <c r="M15">
        <f>IF(E15="Starter",0,ROUND(K15/L15,0)*L15)</f>
      </c>
      <c r="N15">
        <v>50000</v>
      </c>
      <c r="O15">
        <v>3</v>
      </c>
      <c r="P15"/>
    </row>
    <row r="16">
      <c r="A16">
        <v>15</v>
      </c>
      <c r="B16">
        <v>5</v>
      </c>
      <c r="C16">
        <v>3</v>
      </c>
      <c r="D16" t="inlineStr">
        <is>
          <t xml:space="preserve">5:3</t>
        </is>
      </c>
      <c r="E16" t="inlineStr">
        <is>
          <t xml:space="preserve">Unlockable</t>
        </is>
      </c>
      <c r="F16">
        <f>C16-1</f>
      </c>
      <c r="G16">
        <f>VLOOKUP(C16,RowStages!$A:$J,2,FALSE)</f>
      </c>
      <c r="H16">
        <f>VLOOKUP(C16,RowStages!$A:$J,3,FALSE)</f>
      </c>
      <c r="I16">
        <f>VLOOKUP(C16,RowStages!$A:$J,4,FALSE)</f>
      </c>
      <c r="J16">
        <f>VLOOKUP(C16,RowStages!$A:$J,5,FALSE)</f>
      </c>
      <c r="K16">
        <f>IF(E16="Starter",0,I16*J16*3600)</f>
      </c>
      <c r="L16">
        <f>VLOOKUP(C16,RowStages!$A:$J,8,FALSE)</f>
      </c>
      <c r="M16">
        <f>IF(E16="Starter",0,ROUND(K16/L16,0)*L16)</f>
      </c>
      <c r="N16">
        <v>50000</v>
      </c>
      <c r="O16">
        <v>3</v>
      </c>
      <c r="P16"/>
    </row>
    <row r="17">
      <c r="A17">
        <v>16</v>
      </c>
      <c r="B17">
        <v>1</v>
      </c>
      <c r="C17">
        <v>4</v>
      </c>
      <c r="D17" t="inlineStr">
        <is>
          <t xml:space="preserve">1:4</t>
        </is>
      </c>
      <c r="E17" t="inlineStr">
        <is>
          <t xml:space="preserve">Unlockable</t>
        </is>
      </c>
      <c r="F17">
        <f>C17-1</f>
      </c>
      <c r="G17">
        <f>VLOOKUP(C17,RowStages!$A:$J,2,FALSE)</f>
      </c>
      <c r="H17">
        <f>VLOOKUP(C17,RowStages!$A:$J,3,FALSE)</f>
      </c>
      <c r="I17">
        <f>VLOOKUP(C17,RowStages!$A:$J,4,FALSE)</f>
      </c>
      <c r="J17">
        <f>VLOOKUP(C17,RowStages!$A:$J,5,FALSE)</f>
      </c>
      <c r="K17">
        <f>IF(E17="Starter",0,I17*J17*3600)</f>
      </c>
      <c r="L17">
        <f>VLOOKUP(C17,RowStages!$A:$J,8,FALSE)</f>
      </c>
      <c r="M17">
        <f>IF(E17="Starter",0,ROUND(K17/L17,0)*L17)</f>
      </c>
      <c r="N17">
        <v>300000</v>
      </c>
      <c r="O17">
        <v>3</v>
      </c>
      <c r="P17"/>
    </row>
    <row r="18">
      <c r="A18">
        <v>17</v>
      </c>
      <c r="B18">
        <v>2</v>
      </c>
      <c r="C18">
        <v>4</v>
      </c>
      <c r="D18" t="inlineStr">
        <is>
          <t xml:space="preserve">2:4</t>
        </is>
      </c>
      <c r="E18" t="inlineStr">
        <is>
          <t xml:space="preserve">Unlockable</t>
        </is>
      </c>
      <c r="F18">
        <f>C18-1</f>
      </c>
      <c r="G18">
        <f>VLOOKUP(C18,RowStages!$A:$J,2,FALSE)</f>
      </c>
      <c r="H18">
        <f>VLOOKUP(C18,RowStages!$A:$J,3,FALSE)</f>
      </c>
      <c r="I18">
        <f>VLOOKUP(C18,RowStages!$A:$J,4,FALSE)</f>
      </c>
      <c r="J18">
        <f>VLOOKUP(C18,RowStages!$A:$J,5,FALSE)</f>
      </c>
      <c r="K18">
        <f>IF(E18="Starter",0,I18*J18*3600)</f>
      </c>
      <c r="L18">
        <f>VLOOKUP(C18,RowStages!$A:$J,8,FALSE)</f>
      </c>
      <c r="M18">
        <f>IF(E18="Starter",0,ROUND(K18/L18,0)*L18)</f>
      </c>
      <c r="N18">
        <v>300000</v>
      </c>
      <c r="O18">
        <v>3</v>
      </c>
      <c r="P18"/>
    </row>
    <row r="19">
      <c r="A19">
        <v>18</v>
      </c>
      <c r="B19">
        <v>3</v>
      </c>
      <c r="C19">
        <v>4</v>
      </c>
      <c r="D19" t="inlineStr">
        <is>
          <t xml:space="preserve">3:4</t>
        </is>
      </c>
      <c r="E19" t="inlineStr">
        <is>
          <t xml:space="preserve">Unlockable</t>
        </is>
      </c>
      <c r="F19">
        <f>C19-1</f>
      </c>
      <c r="G19">
        <f>VLOOKUP(C19,RowStages!$A:$J,2,FALSE)</f>
      </c>
      <c r="H19">
        <f>VLOOKUP(C19,RowStages!$A:$J,3,FALSE)</f>
      </c>
      <c r="I19">
        <f>VLOOKUP(C19,RowStages!$A:$J,4,FALSE)</f>
      </c>
      <c r="J19">
        <f>VLOOKUP(C19,RowStages!$A:$J,5,FALSE)</f>
      </c>
      <c r="K19">
        <f>IF(E19="Starter",0,I19*J19*3600)</f>
      </c>
      <c r="L19">
        <f>VLOOKUP(C19,RowStages!$A:$J,8,FALSE)</f>
      </c>
      <c r="M19">
        <f>IF(E19="Starter",0,ROUND(K19/L19,0)*L19)</f>
      </c>
      <c r="N19">
        <v>300000</v>
      </c>
      <c r="O19">
        <v>3</v>
      </c>
      <c r="P19"/>
    </row>
    <row r="20">
      <c r="A20">
        <v>19</v>
      </c>
      <c r="B20">
        <v>4</v>
      </c>
      <c r="C20">
        <v>4</v>
      </c>
      <c r="D20" t="inlineStr">
        <is>
          <t xml:space="preserve">4:4</t>
        </is>
      </c>
      <c r="E20" t="inlineStr">
        <is>
          <t xml:space="preserve">Unlockable</t>
        </is>
      </c>
      <c r="F20">
        <f>C20-1</f>
      </c>
      <c r="G20">
        <f>VLOOKUP(C20,RowStages!$A:$J,2,FALSE)</f>
      </c>
      <c r="H20">
        <f>VLOOKUP(C20,RowStages!$A:$J,3,FALSE)</f>
      </c>
      <c r="I20">
        <f>VLOOKUP(C20,RowStages!$A:$J,4,FALSE)</f>
      </c>
      <c r="J20">
        <f>VLOOKUP(C20,RowStages!$A:$J,5,FALSE)</f>
      </c>
      <c r="K20">
        <f>IF(E20="Starter",0,I20*J20*3600)</f>
      </c>
      <c r="L20">
        <f>VLOOKUP(C20,RowStages!$A:$J,8,FALSE)</f>
      </c>
      <c r="M20">
        <f>IF(E20="Starter",0,ROUND(K20/L20,0)*L20)</f>
      </c>
      <c r="N20">
        <v>300000</v>
      </c>
      <c r="O20">
        <v>3</v>
      </c>
      <c r="P20"/>
    </row>
    <row r="21">
      <c r="A21">
        <v>20</v>
      </c>
      <c r="B21">
        <v>5</v>
      </c>
      <c r="C21">
        <v>4</v>
      </c>
      <c r="D21" t="inlineStr">
        <is>
          <t xml:space="preserve">5:4</t>
        </is>
      </c>
      <c r="E21" t="inlineStr">
        <is>
          <t xml:space="preserve">Unlockable</t>
        </is>
      </c>
      <c r="F21">
        <f>C21-1</f>
      </c>
      <c r="G21">
        <f>VLOOKUP(C21,RowStages!$A:$J,2,FALSE)</f>
      </c>
      <c r="H21">
        <f>VLOOKUP(C21,RowStages!$A:$J,3,FALSE)</f>
      </c>
      <c r="I21">
        <f>VLOOKUP(C21,RowStages!$A:$J,4,FALSE)</f>
      </c>
      <c r="J21">
        <f>VLOOKUP(C21,RowStages!$A:$J,5,FALSE)</f>
      </c>
      <c r="K21">
        <f>IF(E21="Starter",0,I21*J21*3600)</f>
      </c>
      <c r="L21">
        <f>VLOOKUP(C21,RowStages!$A:$J,8,FALSE)</f>
      </c>
      <c r="M21">
        <f>IF(E21="Starter",0,ROUND(K21/L21,0)*L21)</f>
      </c>
      <c r="N21">
        <v>300000</v>
      </c>
      <c r="O21">
        <v>3</v>
      </c>
      <c r="P21"/>
    </row>
    <row r="22">
      <c r="A22">
        <v>21</v>
      </c>
      <c r="B22">
        <v>1</v>
      </c>
      <c r="C22">
        <v>5</v>
      </c>
      <c r="D22" t="inlineStr">
        <is>
          <t xml:space="preserve">1:5</t>
        </is>
      </c>
      <c r="E22" t="inlineStr">
        <is>
          <t xml:space="preserve">Unlockable</t>
        </is>
      </c>
      <c r="F22">
        <f>C22-1</f>
      </c>
      <c r="G22">
        <f>VLOOKUP(C22,RowStages!$A:$J,2,FALSE)</f>
      </c>
      <c r="H22">
        <f>VLOOKUP(C22,RowStages!$A:$J,3,FALSE)</f>
      </c>
      <c r="I22">
        <f>VLOOKUP(C22,RowStages!$A:$J,4,FALSE)</f>
      </c>
      <c r="J22">
        <f>VLOOKUP(C22,RowStages!$A:$J,5,FALSE)</f>
      </c>
      <c r="K22">
        <f>IF(E22="Starter",0,I22*J22*3600)</f>
      </c>
      <c r="L22">
        <f>VLOOKUP(C22,RowStages!$A:$J,8,FALSE)</f>
      </c>
      <c r="M22">
        <f>IF(E22="Starter",0,ROUND(K22/L22,0)*L22)</f>
      </c>
      <c r="N22">
        <v>1000000</v>
      </c>
      <c r="O22">
        <v>3</v>
      </c>
      <c r="P22"/>
    </row>
    <row r="23">
      <c r="A23">
        <v>22</v>
      </c>
      <c r="B23">
        <v>2</v>
      </c>
      <c r="C23">
        <v>5</v>
      </c>
      <c r="D23" t="inlineStr">
        <is>
          <t xml:space="preserve">2:5</t>
        </is>
      </c>
      <c r="E23" t="inlineStr">
        <is>
          <t xml:space="preserve">Unlockable</t>
        </is>
      </c>
      <c r="F23">
        <f>C23-1</f>
      </c>
      <c r="G23">
        <f>VLOOKUP(C23,RowStages!$A:$J,2,FALSE)</f>
      </c>
      <c r="H23">
        <f>VLOOKUP(C23,RowStages!$A:$J,3,FALSE)</f>
      </c>
      <c r="I23">
        <f>VLOOKUP(C23,RowStages!$A:$J,4,FALSE)</f>
      </c>
      <c r="J23">
        <f>VLOOKUP(C23,RowStages!$A:$J,5,FALSE)</f>
      </c>
      <c r="K23">
        <f>IF(E23="Starter",0,I23*J23*3600)</f>
      </c>
      <c r="L23">
        <f>VLOOKUP(C23,RowStages!$A:$J,8,FALSE)</f>
      </c>
      <c r="M23">
        <f>IF(E23="Starter",0,ROUND(K23/L23,0)*L23)</f>
      </c>
      <c r="N23">
        <v>1000000</v>
      </c>
      <c r="O23">
        <v>3</v>
      </c>
      <c r="P23"/>
    </row>
    <row r="24">
      <c r="A24">
        <v>23</v>
      </c>
      <c r="B24">
        <v>3</v>
      </c>
      <c r="C24">
        <v>5</v>
      </c>
      <c r="D24" t="inlineStr">
        <is>
          <t xml:space="preserve">3:5</t>
        </is>
      </c>
      <c r="E24" t="inlineStr">
        <is>
          <t xml:space="preserve">Unlockable</t>
        </is>
      </c>
      <c r="F24">
        <f>C24-1</f>
      </c>
      <c r="G24">
        <f>VLOOKUP(C24,RowStages!$A:$J,2,FALSE)</f>
      </c>
      <c r="H24">
        <f>VLOOKUP(C24,RowStages!$A:$J,3,FALSE)</f>
      </c>
      <c r="I24">
        <f>VLOOKUP(C24,RowStages!$A:$J,4,FALSE)</f>
      </c>
      <c r="J24">
        <f>VLOOKUP(C24,RowStages!$A:$J,5,FALSE)</f>
      </c>
      <c r="K24">
        <f>IF(E24="Starter",0,I24*J24*3600)</f>
      </c>
      <c r="L24">
        <f>VLOOKUP(C24,RowStages!$A:$J,8,FALSE)</f>
      </c>
      <c r="M24">
        <f>IF(E24="Starter",0,ROUND(K24/L24,0)*L24)</f>
      </c>
      <c r="N24">
        <v>1000000</v>
      </c>
      <c r="O24">
        <v>3</v>
      </c>
      <c r="P24"/>
    </row>
    <row r="25">
      <c r="A25">
        <v>24</v>
      </c>
      <c r="B25">
        <v>4</v>
      </c>
      <c r="C25">
        <v>5</v>
      </c>
      <c r="D25" t="inlineStr">
        <is>
          <t xml:space="preserve">4:5</t>
        </is>
      </c>
      <c r="E25" t="inlineStr">
        <is>
          <t xml:space="preserve">Unlockable</t>
        </is>
      </c>
      <c r="F25">
        <f>C25-1</f>
      </c>
      <c r="G25">
        <f>VLOOKUP(C25,RowStages!$A:$J,2,FALSE)</f>
      </c>
      <c r="H25">
        <f>VLOOKUP(C25,RowStages!$A:$J,3,FALSE)</f>
      </c>
      <c r="I25">
        <f>VLOOKUP(C25,RowStages!$A:$J,4,FALSE)</f>
      </c>
      <c r="J25">
        <f>VLOOKUP(C25,RowStages!$A:$J,5,FALSE)</f>
      </c>
      <c r="K25">
        <f>IF(E25="Starter",0,I25*J25*3600)</f>
      </c>
      <c r="L25">
        <f>VLOOKUP(C25,RowStages!$A:$J,8,FALSE)</f>
      </c>
      <c r="M25">
        <f>IF(E25="Starter",0,ROUND(K25/L25,0)*L25)</f>
      </c>
      <c r="N25">
        <v>1000000</v>
      </c>
      <c r="O25">
        <v>3</v>
      </c>
      <c r="P25"/>
    </row>
    <row r="26">
      <c r="A26">
        <v>25</v>
      </c>
      <c r="B26">
        <v>5</v>
      </c>
      <c r="C26">
        <v>5</v>
      </c>
      <c r="D26" t="inlineStr">
        <is>
          <t xml:space="preserve">5:5</t>
        </is>
      </c>
      <c r="E26" t="inlineStr">
        <is>
          <t xml:space="preserve">Unlockable</t>
        </is>
      </c>
      <c r="F26">
        <f>C26-1</f>
      </c>
      <c r="G26">
        <f>VLOOKUP(C26,RowStages!$A:$J,2,FALSE)</f>
      </c>
      <c r="H26">
        <f>VLOOKUP(C26,RowStages!$A:$J,3,FALSE)</f>
      </c>
      <c r="I26">
        <f>VLOOKUP(C26,RowStages!$A:$J,4,FALSE)</f>
      </c>
      <c r="J26">
        <f>VLOOKUP(C26,RowStages!$A:$J,5,FALSE)</f>
      </c>
      <c r="K26">
        <f>IF(E26="Starter",0,I26*J26*3600)</f>
      </c>
      <c r="L26">
        <f>VLOOKUP(C26,RowStages!$A:$J,8,FALSE)</f>
      </c>
      <c r="M26">
        <f>IF(E26="Starter",0,ROUND(K26/L26,0)*L26)</f>
      </c>
      <c r="N26">
        <v>1000000</v>
      </c>
      <c r="O26">
        <v>3</v>
      </c>
      <c r="P26"/>
    </row>
    <row r="27">
      <c r="A27">
        <v>26</v>
      </c>
      <c r="B27">
        <v>1</v>
      </c>
      <c r="C27">
        <v>6</v>
      </c>
      <c r="D27" t="inlineStr">
        <is>
          <t xml:space="preserve">1:6</t>
        </is>
      </c>
      <c r="E27" t="inlineStr">
        <is>
          <t xml:space="preserve">Unlockable</t>
        </is>
      </c>
      <c r="F27">
        <f>C27-1</f>
      </c>
      <c r="G27">
        <f>VLOOKUP(C27,RowStages!$A:$J,2,FALSE)</f>
      </c>
      <c r="H27">
        <f>VLOOKUP(C27,RowStages!$A:$J,3,FALSE)</f>
      </c>
      <c r="I27">
        <f>VLOOKUP(C27,RowStages!$A:$J,4,FALSE)</f>
      </c>
      <c r="J27">
        <f>VLOOKUP(C27,RowStages!$A:$J,5,FALSE)</f>
      </c>
      <c r="K27">
        <f>IF(E27="Starter",0,I27*J27*3600)</f>
      </c>
      <c r="L27">
        <f>VLOOKUP(C27,RowStages!$A:$J,8,FALSE)</f>
      </c>
      <c r="M27">
        <f>IF(E27="Starter",0,ROUND(K27/L27,0)*L27)</f>
      </c>
      <c r="N27">
        <v>3500000</v>
      </c>
      <c r="O27">
        <v>3</v>
      </c>
      <c r="P27"/>
    </row>
    <row r="28">
      <c r="A28">
        <v>27</v>
      </c>
      <c r="B28">
        <v>2</v>
      </c>
      <c r="C28">
        <v>6</v>
      </c>
      <c r="D28" t="inlineStr">
        <is>
          <t xml:space="preserve">2:6</t>
        </is>
      </c>
      <c r="E28" t="inlineStr">
        <is>
          <t xml:space="preserve">Unlockable</t>
        </is>
      </c>
      <c r="F28">
        <f>C28-1</f>
      </c>
      <c r="G28">
        <f>VLOOKUP(C28,RowStages!$A:$J,2,FALSE)</f>
      </c>
      <c r="H28">
        <f>VLOOKUP(C28,RowStages!$A:$J,3,FALSE)</f>
      </c>
      <c r="I28">
        <f>VLOOKUP(C28,RowStages!$A:$J,4,FALSE)</f>
      </c>
      <c r="J28">
        <f>VLOOKUP(C28,RowStages!$A:$J,5,FALSE)</f>
      </c>
      <c r="K28">
        <f>IF(E28="Starter",0,I28*J28*3600)</f>
      </c>
      <c r="L28">
        <f>VLOOKUP(C28,RowStages!$A:$J,8,FALSE)</f>
      </c>
      <c r="M28">
        <f>IF(E28="Starter",0,ROUND(K28/L28,0)*L28)</f>
      </c>
      <c r="N28">
        <v>3500000</v>
      </c>
      <c r="O28">
        <v>3</v>
      </c>
      <c r="P28"/>
    </row>
    <row r="29">
      <c r="A29">
        <v>28</v>
      </c>
      <c r="B29">
        <v>3</v>
      </c>
      <c r="C29">
        <v>6</v>
      </c>
      <c r="D29" t="inlineStr">
        <is>
          <t xml:space="preserve">3:6</t>
        </is>
      </c>
      <c r="E29" t="inlineStr">
        <is>
          <t xml:space="preserve">Unlockable</t>
        </is>
      </c>
      <c r="F29">
        <f>C29-1</f>
      </c>
      <c r="G29">
        <f>VLOOKUP(C29,RowStages!$A:$J,2,FALSE)</f>
      </c>
      <c r="H29">
        <f>VLOOKUP(C29,RowStages!$A:$J,3,FALSE)</f>
      </c>
      <c r="I29">
        <f>VLOOKUP(C29,RowStages!$A:$J,4,FALSE)</f>
      </c>
      <c r="J29">
        <f>VLOOKUP(C29,RowStages!$A:$J,5,FALSE)</f>
      </c>
      <c r="K29">
        <f>IF(E29="Starter",0,I29*J29*3600)</f>
      </c>
      <c r="L29">
        <f>VLOOKUP(C29,RowStages!$A:$J,8,FALSE)</f>
      </c>
      <c r="M29">
        <f>IF(E29="Starter",0,ROUND(K29/L29,0)*L29)</f>
      </c>
      <c r="N29">
        <v>3500000</v>
      </c>
      <c r="O29">
        <v>3</v>
      </c>
      <c r="P29"/>
    </row>
    <row r="30">
      <c r="A30">
        <v>29</v>
      </c>
      <c r="B30">
        <v>4</v>
      </c>
      <c r="C30">
        <v>6</v>
      </c>
      <c r="D30" t="inlineStr">
        <is>
          <t xml:space="preserve">4:6</t>
        </is>
      </c>
      <c r="E30" t="inlineStr">
        <is>
          <t xml:space="preserve">Unlockable</t>
        </is>
      </c>
      <c r="F30">
        <f>C30-1</f>
      </c>
      <c r="G30">
        <f>VLOOKUP(C30,RowStages!$A:$J,2,FALSE)</f>
      </c>
      <c r="H30">
        <f>VLOOKUP(C30,RowStages!$A:$J,3,FALSE)</f>
      </c>
      <c r="I30">
        <f>VLOOKUP(C30,RowStages!$A:$J,4,FALSE)</f>
      </c>
      <c r="J30">
        <f>VLOOKUP(C30,RowStages!$A:$J,5,FALSE)</f>
      </c>
      <c r="K30">
        <f>IF(E30="Starter",0,I30*J30*3600)</f>
      </c>
      <c r="L30">
        <f>VLOOKUP(C30,RowStages!$A:$J,8,FALSE)</f>
      </c>
      <c r="M30">
        <f>IF(E30="Starter",0,ROUND(K30/L30,0)*L30)</f>
      </c>
      <c r="N30">
        <v>3500000</v>
      </c>
      <c r="O30">
        <v>3</v>
      </c>
      <c r="P30"/>
    </row>
    <row r="31">
      <c r="A31">
        <v>30</v>
      </c>
      <c r="B31">
        <v>5</v>
      </c>
      <c r="C31">
        <v>6</v>
      </c>
      <c r="D31" t="inlineStr">
        <is>
          <t xml:space="preserve">5:6</t>
        </is>
      </c>
      <c r="E31" t="inlineStr">
        <is>
          <t xml:space="preserve">Unlockable</t>
        </is>
      </c>
      <c r="F31">
        <f>C31-1</f>
      </c>
      <c r="G31">
        <f>VLOOKUP(C31,RowStages!$A:$J,2,FALSE)</f>
      </c>
      <c r="H31">
        <f>VLOOKUP(C31,RowStages!$A:$J,3,FALSE)</f>
      </c>
      <c r="I31">
        <f>VLOOKUP(C31,RowStages!$A:$J,4,FALSE)</f>
      </c>
      <c r="J31">
        <f>VLOOKUP(C31,RowStages!$A:$J,5,FALSE)</f>
      </c>
      <c r="K31">
        <f>IF(E31="Starter",0,I31*J31*3600)</f>
      </c>
      <c r="L31">
        <f>VLOOKUP(C31,RowStages!$A:$J,8,FALSE)</f>
      </c>
      <c r="M31">
        <f>IF(E31="Starter",0,ROUND(K31/L31,0)*L31)</f>
      </c>
      <c r="N31">
        <v>3500000</v>
      </c>
      <c r="O31">
        <v>3</v>
      </c>
      <c r="P31"/>
    </row>
    <row r="32">
      <c r="A32">
        <v>31</v>
      </c>
      <c r="B32">
        <v>1</v>
      </c>
      <c r="C32">
        <v>7</v>
      </c>
      <c r="D32" t="inlineStr">
        <is>
          <t xml:space="preserve">1:7</t>
        </is>
      </c>
      <c r="E32" t="inlineStr">
        <is>
          <t xml:space="preserve">Unlockable</t>
        </is>
      </c>
      <c r="F32">
        <f>C32-1</f>
      </c>
      <c r="G32">
        <f>VLOOKUP(C32,RowStages!$A:$J,2,FALSE)</f>
      </c>
      <c r="H32">
        <f>VLOOKUP(C32,RowStages!$A:$J,3,FALSE)</f>
      </c>
      <c r="I32">
        <f>VLOOKUP(C32,RowStages!$A:$J,4,FALSE)</f>
      </c>
      <c r="J32">
        <f>VLOOKUP(C32,RowStages!$A:$J,5,FALSE)</f>
      </c>
      <c r="K32">
        <f>IF(E32="Starter",0,I32*J32*3600)</f>
      </c>
      <c r="L32">
        <f>VLOOKUP(C32,RowStages!$A:$J,8,FALSE)</f>
      </c>
      <c r="M32">
        <f>IF(E32="Starter",0,ROUND(K32/L32,0)*L32)</f>
      </c>
      <c r="N32">
        <v>13000000</v>
      </c>
      <c r="O32">
        <v>3</v>
      </c>
      <c r="P32"/>
    </row>
    <row r="33">
      <c r="A33">
        <v>32</v>
      </c>
      <c r="B33">
        <v>2</v>
      </c>
      <c r="C33">
        <v>7</v>
      </c>
      <c r="D33" t="inlineStr">
        <is>
          <t xml:space="preserve">2:7</t>
        </is>
      </c>
      <c r="E33" t="inlineStr">
        <is>
          <t xml:space="preserve">Unlockable</t>
        </is>
      </c>
      <c r="F33">
        <f>C33-1</f>
      </c>
      <c r="G33">
        <f>VLOOKUP(C33,RowStages!$A:$J,2,FALSE)</f>
      </c>
      <c r="H33">
        <f>VLOOKUP(C33,RowStages!$A:$J,3,FALSE)</f>
      </c>
      <c r="I33">
        <f>VLOOKUP(C33,RowStages!$A:$J,4,FALSE)</f>
      </c>
      <c r="J33">
        <f>VLOOKUP(C33,RowStages!$A:$J,5,FALSE)</f>
      </c>
      <c r="K33">
        <f>IF(E33="Starter",0,I33*J33*3600)</f>
      </c>
      <c r="L33">
        <f>VLOOKUP(C33,RowStages!$A:$J,8,FALSE)</f>
      </c>
      <c r="M33">
        <f>IF(E33="Starter",0,ROUND(K33/L33,0)*L33)</f>
      </c>
      <c r="N33">
        <v>13000000</v>
      </c>
      <c r="O33">
        <v>3</v>
      </c>
      <c r="P33"/>
    </row>
    <row r="34">
      <c r="A34">
        <v>33</v>
      </c>
      <c r="B34">
        <v>3</v>
      </c>
      <c r="C34">
        <v>7</v>
      </c>
      <c r="D34" t="inlineStr">
        <is>
          <t xml:space="preserve">3:7</t>
        </is>
      </c>
      <c r="E34" t="inlineStr">
        <is>
          <t xml:space="preserve">Unlockable</t>
        </is>
      </c>
      <c r="F34">
        <f>C34-1</f>
      </c>
      <c r="G34">
        <f>VLOOKUP(C34,RowStages!$A:$J,2,FALSE)</f>
      </c>
      <c r="H34">
        <f>VLOOKUP(C34,RowStages!$A:$J,3,FALSE)</f>
      </c>
      <c r="I34">
        <f>VLOOKUP(C34,RowStages!$A:$J,4,FALSE)</f>
      </c>
      <c r="J34">
        <f>VLOOKUP(C34,RowStages!$A:$J,5,FALSE)</f>
      </c>
      <c r="K34">
        <f>IF(E34="Starter",0,I34*J34*3600)</f>
      </c>
      <c r="L34">
        <f>VLOOKUP(C34,RowStages!$A:$J,8,FALSE)</f>
      </c>
      <c r="M34">
        <f>IF(E34="Starter",0,ROUND(K34/L34,0)*L34)</f>
      </c>
      <c r="N34">
        <v>13000000</v>
      </c>
      <c r="O34">
        <v>3</v>
      </c>
      <c r="P34"/>
    </row>
    <row r="35">
      <c r="A35">
        <v>34</v>
      </c>
      <c r="B35">
        <v>4</v>
      </c>
      <c r="C35">
        <v>7</v>
      </c>
      <c r="D35" t="inlineStr">
        <is>
          <t xml:space="preserve">4:7</t>
        </is>
      </c>
      <c r="E35" t="inlineStr">
        <is>
          <t xml:space="preserve">Unlockable</t>
        </is>
      </c>
      <c r="F35">
        <f>C35-1</f>
      </c>
      <c r="G35">
        <f>VLOOKUP(C35,RowStages!$A:$J,2,FALSE)</f>
      </c>
      <c r="H35">
        <f>VLOOKUP(C35,RowStages!$A:$J,3,FALSE)</f>
      </c>
      <c r="I35">
        <f>VLOOKUP(C35,RowStages!$A:$J,4,FALSE)</f>
      </c>
      <c r="J35">
        <f>VLOOKUP(C35,RowStages!$A:$J,5,FALSE)</f>
      </c>
      <c r="K35">
        <f>IF(E35="Starter",0,I35*J35*3600)</f>
      </c>
      <c r="L35">
        <f>VLOOKUP(C35,RowStages!$A:$J,8,FALSE)</f>
      </c>
      <c r="M35">
        <f>IF(E35="Starter",0,ROUND(K35/L35,0)*L35)</f>
      </c>
      <c r="N35">
        <v>13000000</v>
      </c>
      <c r="O35">
        <v>3</v>
      </c>
      <c r="P35"/>
    </row>
    <row r="36">
      <c r="A36">
        <v>35</v>
      </c>
      <c r="B36">
        <v>5</v>
      </c>
      <c r="C36">
        <v>7</v>
      </c>
      <c r="D36" t="inlineStr">
        <is>
          <t xml:space="preserve">5:7</t>
        </is>
      </c>
      <c r="E36" t="inlineStr">
        <is>
          <t xml:space="preserve">Unlockable</t>
        </is>
      </c>
      <c r="F36">
        <f>C36-1</f>
      </c>
      <c r="G36">
        <f>VLOOKUP(C36,RowStages!$A:$J,2,FALSE)</f>
      </c>
      <c r="H36">
        <f>VLOOKUP(C36,RowStages!$A:$J,3,FALSE)</f>
      </c>
      <c r="I36">
        <f>VLOOKUP(C36,RowStages!$A:$J,4,FALSE)</f>
      </c>
      <c r="J36">
        <f>VLOOKUP(C36,RowStages!$A:$J,5,FALSE)</f>
      </c>
      <c r="K36">
        <f>IF(E36="Starter",0,I36*J36*3600)</f>
      </c>
      <c r="L36">
        <f>VLOOKUP(C36,RowStages!$A:$J,8,FALSE)</f>
      </c>
      <c r="M36">
        <f>IF(E36="Starter",0,ROUND(K36/L36,0)*L36)</f>
      </c>
      <c r="N36">
        <v>13000000</v>
      </c>
      <c r="O36">
        <v>3</v>
      </c>
      <c r="P36"/>
    </row>
    <row r="37">
      <c r="A37">
        <v>36</v>
      </c>
      <c r="B37">
        <v>1</v>
      </c>
      <c r="C37">
        <v>8</v>
      </c>
      <c r="D37" t="inlineStr">
        <is>
          <t xml:space="preserve">1:8</t>
        </is>
      </c>
      <c r="E37" t="inlineStr">
        <is>
          <t xml:space="preserve">Unlockable</t>
        </is>
      </c>
      <c r="F37">
        <f>C37-1</f>
      </c>
      <c r="G37">
        <f>VLOOKUP(C37,RowStages!$A:$J,2,FALSE)</f>
      </c>
      <c r="H37">
        <f>VLOOKUP(C37,RowStages!$A:$J,3,FALSE)</f>
      </c>
      <c r="I37">
        <f>VLOOKUP(C37,RowStages!$A:$J,4,FALSE)</f>
      </c>
      <c r="J37">
        <f>VLOOKUP(C37,RowStages!$A:$J,5,FALSE)</f>
      </c>
      <c r="K37">
        <f>IF(E37="Starter",0,I37*J37*3600)</f>
      </c>
      <c r="L37">
        <f>VLOOKUP(C37,RowStages!$A:$J,8,FALSE)</f>
      </c>
      <c r="M37">
        <f>IF(E37="Starter",0,ROUND(K37/L37,0)*L37)</f>
      </c>
      <c r="N37">
        <v>26000000</v>
      </c>
      <c r="O37">
        <v>3</v>
      </c>
      <c r="P37"/>
    </row>
    <row r="38">
      <c r="A38">
        <v>37</v>
      </c>
      <c r="B38">
        <v>2</v>
      </c>
      <c r="C38">
        <v>8</v>
      </c>
      <c r="D38" t="inlineStr">
        <is>
          <t xml:space="preserve">2:8</t>
        </is>
      </c>
      <c r="E38" t="inlineStr">
        <is>
          <t xml:space="preserve">Unlockable</t>
        </is>
      </c>
      <c r="F38">
        <f>C38-1</f>
      </c>
      <c r="G38">
        <f>VLOOKUP(C38,RowStages!$A:$J,2,FALSE)</f>
      </c>
      <c r="H38">
        <f>VLOOKUP(C38,RowStages!$A:$J,3,FALSE)</f>
      </c>
      <c r="I38">
        <f>VLOOKUP(C38,RowStages!$A:$J,4,FALSE)</f>
      </c>
      <c r="J38">
        <f>VLOOKUP(C38,RowStages!$A:$J,5,FALSE)</f>
      </c>
      <c r="K38">
        <f>IF(E38="Starter",0,I38*J38*3600)</f>
      </c>
      <c r="L38">
        <f>VLOOKUP(C38,RowStages!$A:$J,8,FALSE)</f>
      </c>
      <c r="M38">
        <f>IF(E38="Starter",0,ROUND(K38/L38,0)*L38)</f>
      </c>
      <c r="N38">
        <v>26000000</v>
      </c>
      <c r="O38">
        <v>3</v>
      </c>
      <c r="P38"/>
    </row>
    <row r="39">
      <c r="A39">
        <v>38</v>
      </c>
      <c r="B39">
        <v>3</v>
      </c>
      <c r="C39">
        <v>8</v>
      </c>
      <c r="D39" t="inlineStr">
        <is>
          <t xml:space="preserve">3:8</t>
        </is>
      </c>
      <c r="E39" t="inlineStr">
        <is>
          <t xml:space="preserve">Unlockable</t>
        </is>
      </c>
      <c r="F39">
        <f>C39-1</f>
      </c>
      <c r="G39">
        <f>VLOOKUP(C39,RowStages!$A:$J,2,FALSE)</f>
      </c>
      <c r="H39">
        <f>VLOOKUP(C39,RowStages!$A:$J,3,FALSE)</f>
      </c>
      <c r="I39">
        <f>VLOOKUP(C39,RowStages!$A:$J,4,FALSE)</f>
      </c>
      <c r="J39">
        <f>VLOOKUP(C39,RowStages!$A:$J,5,FALSE)</f>
      </c>
      <c r="K39">
        <f>IF(E39="Starter",0,I39*J39*3600)</f>
      </c>
      <c r="L39">
        <f>VLOOKUP(C39,RowStages!$A:$J,8,FALSE)</f>
      </c>
      <c r="M39">
        <f>IF(E39="Starter",0,ROUND(K39/L39,0)*L39)</f>
      </c>
      <c r="N39">
        <v>26000000</v>
      </c>
      <c r="O39">
        <v>3</v>
      </c>
      <c r="P39"/>
    </row>
    <row r="40">
      <c r="A40">
        <v>39</v>
      </c>
      <c r="B40">
        <v>4</v>
      </c>
      <c r="C40">
        <v>8</v>
      </c>
      <c r="D40" t="inlineStr">
        <is>
          <t xml:space="preserve">4:8</t>
        </is>
      </c>
      <c r="E40" t="inlineStr">
        <is>
          <t xml:space="preserve">Unlockable</t>
        </is>
      </c>
      <c r="F40">
        <f>C40-1</f>
      </c>
      <c r="G40">
        <f>VLOOKUP(C40,RowStages!$A:$J,2,FALSE)</f>
      </c>
      <c r="H40">
        <f>VLOOKUP(C40,RowStages!$A:$J,3,FALSE)</f>
      </c>
      <c r="I40">
        <f>VLOOKUP(C40,RowStages!$A:$J,4,FALSE)</f>
      </c>
      <c r="J40">
        <f>VLOOKUP(C40,RowStages!$A:$J,5,FALSE)</f>
      </c>
      <c r="K40">
        <f>IF(E40="Starter",0,I40*J40*3600)</f>
      </c>
      <c r="L40">
        <f>VLOOKUP(C40,RowStages!$A:$J,8,FALSE)</f>
      </c>
      <c r="M40">
        <f>IF(E40="Starter",0,ROUND(K40/L40,0)*L40)</f>
      </c>
      <c r="N40">
        <v>26000000</v>
      </c>
      <c r="O40">
        <v>3</v>
      </c>
      <c r="P40"/>
    </row>
    <row r="41">
      <c r="A41">
        <v>40</v>
      </c>
      <c r="B41">
        <v>5</v>
      </c>
      <c r="C41">
        <v>8</v>
      </c>
      <c r="D41" t="inlineStr">
        <is>
          <t xml:space="preserve">5:8</t>
        </is>
      </c>
      <c r="E41" t="inlineStr">
        <is>
          <t xml:space="preserve">Unlockable</t>
        </is>
      </c>
      <c r="F41">
        <f>C41-1</f>
      </c>
      <c r="G41">
        <f>VLOOKUP(C41,RowStages!$A:$J,2,FALSE)</f>
      </c>
      <c r="H41">
        <f>VLOOKUP(C41,RowStages!$A:$J,3,FALSE)</f>
      </c>
      <c r="I41">
        <f>VLOOKUP(C41,RowStages!$A:$J,4,FALSE)</f>
      </c>
      <c r="J41">
        <f>VLOOKUP(C41,RowStages!$A:$J,5,FALSE)</f>
      </c>
      <c r="K41">
        <f>IF(E41="Starter",0,I41*J41*3600)</f>
      </c>
      <c r="L41">
        <f>VLOOKUP(C41,RowStages!$A:$J,8,FALSE)</f>
      </c>
      <c r="M41">
        <f>IF(E41="Starter",0,ROUND(K41/L41,0)*L41)</f>
      </c>
      <c r="N41">
        <v>26000000</v>
      </c>
      <c r="O41">
        <v>3</v>
      </c>
      <c r="P41"/>
    </row>
    <row r="42">
      <c r="A42">
        <v>41</v>
      </c>
      <c r="B42">
        <v>1</v>
      </c>
      <c r="C42">
        <v>9</v>
      </c>
      <c r="D42" t="inlineStr">
        <is>
          <t xml:space="preserve">1:9</t>
        </is>
      </c>
      <c r="E42" t="inlineStr">
        <is>
          <t xml:space="preserve">Unlockable</t>
        </is>
      </c>
      <c r="F42">
        <f>C42-1</f>
      </c>
      <c r="G42">
        <f>VLOOKUP(C42,RowStages!$A:$J,2,FALSE)</f>
      </c>
      <c r="H42">
        <f>VLOOKUP(C42,RowStages!$A:$J,3,FALSE)</f>
      </c>
      <c r="I42">
        <f>VLOOKUP(C42,RowStages!$A:$J,4,FALSE)</f>
      </c>
      <c r="J42">
        <f>VLOOKUP(C42,RowStages!$A:$J,5,FALSE)</f>
      </c>
      <c r="K42">
        <f>IF(E42="Starter",0,I42*J42*3600)</f>
      </c>
      <c r="L42">
        <f>VLOOKUP(C42,RowStages!$A:$J,8,FALSE)</f>
      </c>
      <c r="M42">
        <f>IF(E42="Starter",0,ROUND(K42/L42,0)*L42)</f>
      </c>
      <c r="N42">
        <v>43200000</v>
      </c>
      <c r="O42">
        <v>3</v>
      </c>
      <c r="P42"/>
    </row>
    <row r="43">
      <c r="A43">
        <v>42</v>
      </c>
      <c r="B43">
        <v>2</v>
      </c>
      <c r="C43">
        <v>9</v>
      </c>
      <c r="D43" t="inlineStr">
        <is>
          <t xml:space="preserve">2:9</t>
        </is>
      </c>
      <c r="E43" t="inlineStr">
        <is>
          <t xml:space="preserve">Unlockable</t>
        </is>
      </c>
      <c r="F43">
        <f>C43-1</f>
      </c>
      <c r="G43">
        <f>VLOOKUP(C43,RowStages!$A:$J,2,FALSE)</f>
      </c>
      <c r="H43">
        <f>VLOOKUP(C43,RowStages!$A:$J,3,FALSE)</f>
      </c>
      <c r="I43">
        <f>VLOOKUP(C43,RowStages!$A:$J,4,FALSE)</f>
      </c>
      <c r="J43">
        <f>VLOOKUP(C43,RowStages!$A:$J,5,FALSE)</f>
      </c>
      <c r="K43">
        <f>IF(E43="Starter",0,I43*J43*3600)</f>
      </c>
      <c r="L43">
        <f>VLOOKUP(C43,RowStages!$A:$J,8,FALSE)</f>
      </c>
      <c r="M43">
        <f>IF(E43="Starter",0,ROUND(K43/L43,0)*L43)</f>
      </c>
      <c r="N43">
        <v>43200000</v>
      </c>
      <c r="O43">
        <v>3</v>
      </c>
      <c r="P43"/>
    </row>
    <row r="44">
      <c r="A44">
        <v>43</v>
      </c>
      <c r="B44">
        <v>3</v>
      </c>
      <c r="C44">
        <v>9</v>
      </c>
      <c r="D44" t="inlineStr">
        <is>
          <t xml:space="preserve">3:9</t>
        </is>
      </c>
      <c r="E44" t="inlineStr">
        <is>
          <t xml:space="preserve">Unlockable</t>
        </is>
      </c>
      <c r="F44">
        <f>C44-1</f>
      </c>
      <c r="G44">
        <f>VLOOKUP(C44,RowStages!$A:$J,2,FALSE)</f>
      </c>
      <c r="H44">
        <f>VLOOKUP(C44,RowStages!$A:$J,3,FALSE)</f>
      </c>
      <c r="I44">
        <f>VLOOKUP(C44,RowStages!$A:$J,4,FALSE)</f>
      </c>
      <c r="J44">
        <f>VLOOKUP(C44,RowStages!$A:$J,5,FALSE)</f>
      </c>
      <c r="K44">
        <f>IF(E44="Starter",0,I44*J44*3600)</f>
      </c>
      <c r="L44">
        <f>VLOOKUP(C44,RowStages!$A:$J,8,FALSE)</f>
      </c>
      <c r="M44">
        <f>IF(E44="Starter",0,ROUND(K44/L44,0)*L44)</f>
      </c>
      <c r="N44">
        <v>43200000</v>
      </c>
      <c r="O44">
        <v>3</v>
      </c>
      <c r="P44"/>
    </row>
    <row r="45">
      <c r="A45">
        <v>44</v>
      </c>
      <c r="B45">
        <v>4</v>
      </c>
      <c r="C45">
        <v>9</v>
      </c>
      <c r="D45" t="inlineStr">
        <is>
          <t xml:space="preserve">4:9</t>
        </is>
      </c>
      <c r="E45" t="inlineStr">
        <is>
          <t xml:space="preserve">Unlockable</t>
        </is>
      </c>
      <c r="F45">
        <f>C45-1</f>
      </c>
      <c r="G45">
        <f>VLOOKUP(C45,RowStages!$A:$J,2,FALSE)</f>
      </c>
      <c r="H45">
        <f>VLOOKUP(C45,RowStages!$A:$J,3,FALSE)</f>
      </c>
      <c r="I45">
        <f>VLOOKUP(C45,RowStages!$A:$J,4,FALSE)</f>
      </c>
      <c r="J45">
        <f>VLOOKUP(C45,RowStages!$A:$J,5,FALSE)</f>
      </c>
      <c r="K45">
        <f>IF(E45="Starter",0,I45*J45*3600)</f>
      </c>
      <c r="L45">
        <f>VLOOKUP(C45,RowStages!$A:$J,8,FALSE)</f>
      </c>
      <c r="M45">
        <f>IF(E45="Starter",0,ROUND(K45/L45,0)*L45)</f>
      </c>
      <c r="N45">
        <v>43200000</v>
      </c>
      <c r="O45">
        <v>3</v>
      </c>
      <c r="P45"/>
    </row>
    <row r="46">
      <c r="A46">
        <v>45</v>
      </c>
      <c r="B46">
        <v>5</v>
      </c>
      <c r="C46">
        <v>9</v>
      </c>
      <c r="D46" t="inlineStr">
        <is>
          <t xml:space="preserve">5:9</t>
        </is>
      </c>
      <c r="E46" t="inlineStr">
        <is>
          <t xml:space="preserve">Unlockable</t>
        </is>
      </c>
      <c r="F46">
        <f>C46-1</f>
      </c>
      <c r="G46">
        <f>VLOOKUP(C46,RowStages!$A:$J,2,FALSE)</f>
      </c>
      <c r="H46">
        <f>VLOOKUP(C46,RowStages!$A:$J,3,FALSE)</f>
      </c>
      <c r="I46">
        <f>VLOOKUP(C46,RowStages!$A:$J,4,FALSE)</f>
      </c>
      <c r="J46">
        <f>VLOOKUP(C46,RowStages!$A:$J,5,FALSE)</f>
      </c>
      <c r="K46">
        <f>IF(E46="Starter",0,I46*J46*3600)</f>
      </c>
      <c r="L46">
        <f>VLOOKUP(C46,RowStages!$A:$J,8,FALSE)</f>
      </c>
      <c r="M46">
        <f>IF(E46="Starter",0,ROUND(K46/L46,0)*L46)</f>
      </c>
      <c r="N46">
        <v>43200000</v>
      </c>
      <c r="O46">
        <v>3</v>
      </c>
      <c r="P46"/>
    </row>
    <row r="47">
      <c r="A47">
        <v>46</v>
      </c>
      <c r="B47">
        <v>1</v>
      </c>
      <c r="C47">
        <v>10</v>
      </c>
      <c r="D47" t="inlineStr">
        <is>
          <t xml:space="preserve">1:10</t>
        </is>
      </c>
      <c r="E47" t="inlineStr">
        <is>
          <t xml:space="preserve">Unlockable</t>
        </is>
      </c>
      <c r="F47">
        <f>C47-1</f>
      </c>
      <c r="G47">
        <f>VLOOKUP(C47,RowStages!$A:$J,2,FALSE)</f>
      </c>
      <c r="H47">
        <f>VLOOKUP(C47,RowStages!$A:$J,3,FALSE)</f>
      </c>
      <c r="I47">
        <f>VLOOKUP(C47,RowStages!$A:$J,4,FALSE)</f>
      </c>
      <c r="J47">
        <f>VLOOKUP(C47,RowStages!$A:$J,5,FALSE)</f>
      </c>
      <c r="K47">
        <f>IF(E47="Starter",0,I47*J47*3600)</f>
      </c>
      <c r="L47">
        <f>VLOOKUP(C47,RowStages!$A:$J,8,FALSE)</f>
      </c>
      <c r="M47">
        <f>IF(E47="Starter",0,ROUND(K47/L47,0)*L47)</f>
      </c>
      <c r="N47">
        <v>86400000</v>
      </c>
      <c r="O47">
        <v>3</v>
      </c>
      <c r="P47" t="inlineStr">
        <is>
          <t xml:space="preserve">Final 5: 5h at 6x T-Rex</t>
        </is>
      </c>
    </row>
    <row r="48">
      <c r="A48">
        <v>47</v>
      </c>
      <c r="B48">
        <v>2</v>
      </c>
      <c r="C48">
        <v>10</v>
      </c>
      <c r="D48" t="inlineStr">
        <is>
          <t xml:space="preserve">2:10</t>
        </is>
      </c>
      <c r="E48" t="inlineStr">
        <is>
          <t xml:space="preserve">Unlockable</t>
        </is>
      </c>
      <c r="F48">
        <f>C48-1</f>
      </c>
      <c r="G48">
        <f>VLOOKUP(C48,RowStages!$A:$J,2,FALSE)</f>
      </c>
      <c r="H48">
        <f>VLOOKUP(C48,RowStages!$A:$J,3,FALSE)</f>
      </c>
      <c r="I48">
        <f>VLOOKUP(C48,RowStages!$A:$J,4,FALSE)</f>
      </c>
      <c r="J48">
        <f>VLOOKUP(C48,RowStages!$A:$J,5,FALSE)</f>
      </c>
      <c r="K48">
        <f>IF(E48="Starter",0,I48*J48*3600)</f>
      </c>
      <c r="L48">
        <f>VLOOKUP(C48,RowStages!$A:$J,8,FALSE)</f>
      </c>
      <c r="M48">
        <f>IF(E48="Starter",0,ROUND(K48/L48,0)*L48)</f>
      </c>
      <c r="N48">
        <v>86400000</v>
      </c>
      <c r="O48">
        <v>3</v>
      </c>
      <c r="P48" t="inlineStr">
        <is>
          <t xml:space="preserve">Final 5: 5h at 6x T-Rex</t>
        </is>
      </c>
    </row>
    <row r="49">
      <c r="A49">
        <v>48</v>
      </c>
      <c r="B49">
        <v>3</v>
      </c>
      <c r="C49">
        <v>10</v>
      </c>
      <c r="D49" t="inlineStr">
        <is>
          <t xml:space="preserve">3:10</t>
        </is>
      </c>
      <c r="E49" t="inlineStr">
        <is>
          <t xml:space="preserve">Unlockable</t>
        </is>
      </c>
      <c r="F49">
        <f>C49-1</f>
      </c>
      <c r="G49">
        <f>VLOOKUP(C49,RowStages!$A:$J,2,FALSE)</f>
      </c>
      <c r="H49">
        <f>VLOOKUP(C49,RowStages!$A:$J,3,FALSE)</f>
      </c>
      <c r="I49">
        <f>VLOOKUP(C49,RowStages!$A:$J,4,FALSE)</f>
      </c>
      <c r="J49">
        <f>VLOOKUP(C49,RowStages!$A:$J,5,FALSE)</f>
      </c>
      <c r="K49">
        <f>IF(E49="Starter",0,I49*J49*3600)</f>
      </c>
      <c r="L49">
        <f>VLOOKUP(C49,RowStages!$A:$J,8,FALSE)</f>
      </c>
      <c r="M49">
        <f>IF(E49="Starter",0,ROUND(K49/L49,0)*L49)</f>
      </c>
      <c r="N49">
        <v>86400000</v>
      </c>
      <c r="O49">
        <v>3</v>
      </c>
      <c r="P49" t="inlineStr">
        <is>
          <t xml:space="preserve">Final 5: 5h at 6x T-Rex</t>
        </is>
      </c>
    </row>
    <row r="50">
      <c r="A50">
        <v>49</v>
      </c>
      <c r="B50">
        <v>4</v>
      </c>
      <c r="C50">
        <v>10</v>
      </c>
      <c r="D50" t="inlineStr">
        <is>
          <t xml:space="preserve">4:10</t>
        </is>
      </c>
      <c r="E50" t="inlineStr">
        <is>
          <t xml:space="preserve">Unlockable</t>
        </is>
      </c>
      <c r="F50">
        <f>C50-1</f>
      </c>
      <c r="G50">
        <f>VLOOKUP(C50,RowStages!$A:$J,2,FALSE)</f>
      </c>
      <c r="H50">
        <f>VLOOKUP(C50,RowStages!$A:$J,3,FALSE)</f>
      </c>
      <c r="I50">
        <f>VLOOKUP(C50,RowStages!$A:$J,4,FALSE)</f>
      </c>
      <c r="J50">
        <f>VLOOKUP(C50,RowStages!$A:$J,5,FALSE)</f>
      </c>
      <c r="K50">
        <f>IF(E50="Starter",0,I50*J50*3600)</f>
      </c>
      <c r="L50">
        <f>VLOOKUP(C50,RowStages!$A:$J,8,FALSE)</f>
      </c>
      <c r="M50">
        <f>IF(E50="Starter",0,ROUND(K50/L50,0)*L50)</f>
      </c>
      <c r="N50">
        <v>86400000</v>
      </c>
      <c r="O50">
        <v>3</v>
      </c>
      <c r="P50" t="inlineStr">
        <is>
          <t xml:space="preserve">Final 5: 5h at 6x T-Rex</t>
        </is>
      </c>
    </row>
    <row r="51">
      <c r="A51">
        <v>50</v>
      </c>
      <c r="B51">
        <v>5</v>
      </c>
      <c r="C51">
        <v>10</v>
      </c>
      <c r="D51" t="inlineStr">
        <is>
          <t xml:space="preserve">5:10</t>
        </is>
      </c>
      <c r="E51" t="inlineStr">
        <is>
          <t xml:space="preserve">Unlockable</t>
        </is>
      </c>
      <c r="F51">
        <f>C51-1</f>
      </c>
      <c r="G51">
        <f>VLOOKUP(C51,RowStages!$A:$J,2,FALSE)</f>
      </c>
      <c r="H51">
        <f>VLOOKUP(C51,RowStages!$A:$J,3,FALSE)</f>
      </c>
      <c r="I51">
        <f>VLOOKUP(C51,RowStages!$A:$J,4,FALSE)</f>
      </c>
      <c r="J51">
        <f>VLOOKUP(C51,RowStages!$A:$J,5,FALSE)</f>
      </c>
      <c r="K51">
        <f>IF(E51="Starter",0,I51*J51*3600)</f>
      </c>
      <c r="L51">
        <f>VLOOKUP(C51,RowStages!$A:$J,8,FALSE)</f>
      </c>
      <c r="M51">
        <f>IF(E51="Starter",0,ROUND(K51/L51,0)*L51)</f>
      </c>
      <c r="N51">
        <v>86400000</v>
      </c>
      <c r="O51">
        <v>3</v>
      </c>
      <c r="P51" t="inlineStr">
        <is>
          <t xml:space="preserve">Final 5: 5h at 6x T-Rex</t>
        </is>
      </c>
    </row>
  </sheetData>
  <autoFilter ref="A1:P51"/>
</worksheet>
</file>

<file path=xl/worksheets/sheet5.xml><?xml version="1.0" encoding="utf-8"?>
<worksheet xmlns="http://schemas.openxmlformats.org/spreadsheetml/2006/main">
  <dimension ref="A1:F11"/>
  <sheetViews>
    <sheetView workbookViewId="0"/>
  </sheetViews>
  <sheetFormatPr defaultRowHeight="18"/>
  <cols>
    <col min="1" max="1" width="1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24" customHeight="1">
      <c r="A1" s="1"/>
      <c r="B1" t="inlineStr" s="1">
        <is>
          <t xml:space="preserve">GridX 1</t>
        </is>
      </c>
      <c r="C1" t="inlineStr" s="1">
        <is>
          <t xml:space="preserve">GridX 2</t>
        </is>
      </c>
      <c r="D1" t="inlineStr" s="1">
        <is>
          <t xml:space="preserve">GridX 3</t>
        </is>
      </c>
      <c r="E1" t="inlineStr" s="1">
        <is>
          <t xml:space="preserve">GridX 4</t>
        </is>
      </c>
      <c r="F1" t="inlineStr" s="1">
        <is>
          <t xml:space="preserve">GridX 5</t>
        </is>
      </c>
    </row>
    <row r="2" ht="72" customHeight="1">
      <c r="A2" t="inlineStr">
        <is>
          <t xml:space="preserve">GridZ 10</t>
        </is>
      </c>
      <c r="B2" t="inlineStr" s="5">
        <is>
          <t xml:space="preserve">Grid 46
X1 Z10
$86,400,000</t>
        </is>
      </c>
      <c r="C2" t="inlineStr" s="5">
        <is>
          <t xml:space="preserve">Grid 47
X2 Z10
$86,400,000</t>
        </is>
      </c>
      <c r="D2" t="inlineStr" s="5">
        <is>
          <t xml:space="preserve">Grid 48
X3 Z10
$86,400,000</t>
        </is>
      </c>
      <c r="E2" t="inlineStr" s="5">
        <is>
          <t xml:space="preserve">Grid 49
X4 Z10
$86,400,000</t>
        </is>
      </c>
      <c r="F2" t="inlineStr" s="5">
        <is>
          <t xml:space="preserve">Grid 50
X5 Z10
$86,400,000</t>
        </is>
      </c>
    </row>
    <row r="3" ht="72" customHeight="1">
      <c r="A3" t="inlineStr">
        <is>
          <t xml:space="preserve">GridZ 9</t>
        </is>
      </c>
      <c r="B3" t="inlineStr" s="6">
        <is>
          <t xml:space="preserve">Grid 41
X1 Z9
$43,200,000</t>
        </is>
      </c>
      <c r="C3" t="inlineStr" s="6">
        <is>
          <t xml:space="preserve">Grid 42
X2 Z9
$43,200,000</t>
        </is>
      </c>
      <c r="D3" t="inlineStr" s="6">
        <is>
          <t xml:space="preserve">Grid 43
X3 Z9
$43,200,000</t>
        </is>
      </c>
      <c r="E3" t="inlineStr" s="6">
        <is>
          <t xml:space="preserve">Grid 44
X4 Z9
$43,200,000</t>
        </is>
      </c>
      <c r="F3" t="inlineStr" s="6">
        <is>
          <t xml:space="preserve">Grid 45
X5 Z9
$43,200,000</t>
        </is>
      </c>
    </row>
    <row r="4" ht="72" customHeight="1">
      <c r="A4" t="inlineStr">
        <is>
          <t xml:space="preserve">GridZ 8</t>
        </is>
      </c>
      <c r="B4" t="inlineStr" s="6">
        <is>
          <t xml:space="preserve">Grid 36
X1 Z8
$26,000,000</t>
        </is>
      </c>
      <c r="C4" t="inlineStr" s="6">
        <is>
          <t xml:space="preserve">Grid 37
X2 Z8
$26,000,000</t>
        </is>
      </c>
      <c r="D4" t="inlineStr" s="6">
        <is>
          <t xml:space="preserve">Grid 38
X3 Z8
$26,000,000</t>
        </is>
      </c>
      <c r="E4" t="inlineStr" s="6">
        <is>
          <t xml:space="preserve">Grid 39
X4 Z8
$26,000,000</t>
        </is>
      </c>
      <c r="F4" t="inlineStr" s="6">
        <is>
          <t xml:space="preserve">Grid 40
X5 Z8
$26,000,000</t>
        </is>
      </c>
    </row>
    <row r="5" ht="72" customHeight="1">
      <c r="A5" t="inlineStr">
        <is>
          <t xml:space="preserve">GridZ 7</t>
        </is>
      </c>
      <c r="B5" t="inlineStr" s="6">
        <is>
          <t xml:space="preserve">Grid 31
X1 Z7
$13,000,000</t>
        </is>
      </c>
      <c r="C5" t="inlineStr" s="6">
        <is>
          <t xml:space="preserve">Grid 32
X2 Z7
$13,000,000</t>
        </is>
      </c>
      <c r="D5" t="inlineStr" s="6">
        <is>
          <t xml:space="preserve">Grid 33
X3 Z7
$13,000,000</t>
        </is>
      </c>
      <c r="E5" t="inlineStr" s="6">
        <is>
          <t xml:space="preserve">Grid 34
X4 Z7
$13,000,000</t>
        </is>
      </c>
      <c r="F5" t="inlineStr" s="6">
        <is>
          <t xml:space="preserve">Grid 35
X5 Z7
$13,000,000</t>
        </is>
      </c>
    </row>
    <row r="6" ht="72" customHeight="1">
      <c r="A6" t="inlineStr">
        <is>
          <t xml:space="preserve">GridZ 6</t>
        </is>
      </c>
      <c r="B6" t="inlineStr" s="7">
        <is>
          <t xml:space="preserve">Grid 26
X1 Z6
$3,500,000</t>
        </is>
      </c>
      <c r="C6" t="inlineStr" s="7">
        <is>
          <t xml:space="preserve">Grid 27
X2 Z6
$3,500,000</t>
        </is>
      </c>
      <c r="D6" t="inlineStr" s="7">
        <is>
          <t xml:space="preserve">Grid 28
X3 Z6
$3,500,000</t>
        </is>
      </c>
      <c r="E6" t="inlineStr" s="7">
        <is>
          <t xml:space="preserve">Grid 29
X4 Z6
$3,500,000</t>
        </is>
      </c>
      <c r="F6" t="inlineStr" s="7">
        <is>
          <t xml:space="preserve">Grid 30
X5 Z6
$3,500,000</t>
        </is>
      </c>
    </row>
    <row r="7" ht="72" customHeight="1">
      <c r="A7" t="inlineStr">
        <is>
          <t xml:space="preserve">GridZ 5</t>
        </is>
      </c>
      <c r="B7" t="inlineStr" s="7">
        <is>
          <t xml:space="preserve">Grid 21
X1 Z5
$1,000,000</t>
        </is>
      </c>
      <c r="C7" t="inlineStr" s="7">
        <is>
          <t xml:space="preserve">Grid 22
X2 Z5
$1,000,000</t>
        </is>
      </c>
      <c r="D7" t="inlineStr" s="7">
        <is>
          <t xml:space="preserve">Grid 23
X3 Z5
$1,000,000</t>
        </is>
      </c>
      <c r="E7" t="inlineStr" s="7">
        <is>
          <t xml:space="preserve">Grid 24
X4 Z5
$1,000,000</t>
        </is>
      </c>
      <c r="F7" t="inlineStr" s="7">
        <is>
          <t xml:space="preserve">Grid 25
X5 Z5
$1,000,000</t>
        </is>
      </c>
    </row>
    <row r="8" ht="72" customHeight="1">
      <c r="A8" t="inlineStr">
        <is>
          <t xml:space="preserve">GridZ 4</t>
        </is>
      </c>
      <c r="B8" t="inlineStr" s="7">
        <is>
          <t xml:space="preserve">Grid 16
X1 Z4
$300,000</t>
        </is>
      </c>
      <c r="C8" t="inlineStr" s="7">
        <is>
          <t xml:space="preserve">Grid 17
X2 Z4
$300,000</t>
        </is>
      </c>
      <c r="D8" t="inlineStr" s="7">
        <is>
          <t xml:space="preserve">Grid 18
X3 Z4
$300,000</t>
        </is>
      </c>
      <c r="E8" t="inlineStr" s="7">
        <is>
          <t xml:space="preserve">Grid 19
X4 Z4
$300,000</t>
        </is>
      </c>
      <c r="F8" t="inlineStr" s="7">
        <is>
          <t xml:space="preserve">Grid 20
X5 Z4
$300,000</t>
        </is>
      </c>
    </row>
    <row r="9" ht="72" customHeight="1">
      <c r="A9" t="inlineStr">
        <is>
          <t xml:space="preserve">GridZ 3</t>
        </is>
      </c>
      <c r="B9" t="inlineStr" s="8">
        <is>
          <t xml:space="preserve">Grid 11
X1 Z3
$50,000</t>
        </is>
      </c>
      <c r="C9" t="inlineStr" s="8">
        <is>
          <t xml:space="preserve">Grid 12
X2 Z3
$50,000</t>
        </is>
      </c>
      <c r="D9" t="inlineStr" s="8">
        <is>
          <t xml:space="preserve">Grid 13
X3 Z3
$50,000</t>
        </is>
      </c>
      <c r="E9" t="inlineStr" s="8">
        <is>
          <t xml:space="preserve">Grid 14
X4 Z3
$50,000</t>
        </is>
      </c>
      <c r="F9" t="inlineStr" s="8">
        <is>
          <t xml:space="preserve">Grid 15
X5 Z3
$50,000</t>
        </is>
      </c>
    </row>
    <row r="10" ht="72" customHeight="1">
      <c r="A10" t="inlineStr">
        <is>
          <t xml:space="preserve">GridZ 2</t>
        </is>
      </c>
      <c r="B10" t="inlineStr" s="8">
        <is>
          <t xml:space="preserve">Grid 6
X1 Z2
$10,000</t>
        </is>
      </c>
      <c r="C10" t="inlineStr" s="8">
        <is>
          <t xml:space="preserve">Grid 7
X2 Z2
$10,000</t>
        </is>
      </c>
      <c r="D10" t="inlineStr" s="8">
        <is>
          <t xml:space="preserve">Grid 8
X3 Z2
$10,000</t>
        </is>
      </c>
      <c r="E10" t="inlineStr" s="8">
        <is>
          <t xml:space="preserve">Grid 9
X4 Z2
$10,000</t>
        </is>
      </c>
      <c r="F10" t="inlineStr" s="8">
        <is>
          <t xml:space="preserve">Grid 10
X5 Z2
$10,000</t>
        </is>
      </c>
    </row>
    <row r="11" ht="72" customHeight="1">
      <c r="A11" t="inlineStr">
        <is>
          <t xml:space="preserve">GridZ 1</t>
        </is>
      </c>
      <c r="B11" t="inlineStr" s="8">
        <is>
          <t xml:space="preserve">Grid 1
X1 Z1
$1,000</t>
        </is>
      </c>
      <c r="C11" s="8" t="inlineStr">
        <is>
          <t xml:space="preserve">Grid 2
X2 Z1
$100</t>
        </is>
      </c>
      <c r="D11" t="inlineStr" s="4">
        <is>
          <t xml:space="preserve">Grid 3
X3 Z1
STARTER</t>
        </is>
      </c>
      <c r="E11" t="inlineStr" s="8">
        <is>
          <t xml:space="preserve">Grid 4
X4 Z1
$1,000</t>
        </is>
      </c>
      <c r="F11" t="inlineStr" s="8">
        <is>
          <t xml:space="preserve">Grid 5
X5 Z1
$1,000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6" customWidth="1"/>
    <col min="3" max="3" width="30" customWidth="1"/>
    <col min="4" max="4" width="44" customWidth="1"/>
  </cols>
  <sheetData>
    <row r="1">
      <c r="A1" t="inlineStr" s="1">
        <is>
          <t xml:space="preserve">Tier</t>
        </is>
      </c>
      <c r="B1" t="inlineStr" s="1">
        <is>
          <t xml:space="preserve">Cost</t>
        </is>
      </c>
      <c r="C1" t="inlineStr" s="1">
        <is>
          <t xml:space="preserve">AnchorFormula</t>
        </is>
      </c>
      <c r="D1" t="inlineStr" s="1">
        <is>
          <t xml:space="preserve">Notes</t>
        </is>
      </c>
    </row>
    <row r="2">
      <c r="A2">
        <v>1</v>
      </c>
      <c r="B2">
        <v>100000</v>
      </c>
      <c r="C2" t="inlineStr">
        <is>
          <t xml:space="preserve">1x GoldenRetriever, 1h</t>
        </is>
      </c>
      <c r="D2" t="inlineStr">
        <is>
          <t xml:space="preserve">Existing rebirth cost anchor</t>
        </is>
      </c>
    </row>
    <row r="3">
      <c r="A3">
        <v>2</v>
      </c>
      <c r="B3">
        <v>500000</v>
      </c>
      <c r="C3" t="inlineStr">
        <is>
          <t xml:space="preserve">2x Lizard, 2h</t>
        </is>
      </c>
      <c r="D3" t="inlineStr">
        <is>
          <t xml:space="preserve">Existing rebirth cost anchor</t>
        </is>
      </c>
    </row>
    <row r="4">
      <c r="A4">
        <v>3</v>
      </c>
      <c r="B4">
        <v>5000000</v>
      </c>
      <c r="C4" t="inlineStr">
        <is>
          <t xml:space="preserve">3x Ostrich, 4h</t>
        </is>
      </c>
      <c r="D4" t="inlineStr">
        <is>
          <t xml:space="preserve">Existing rebirth cost anchor</t>
        </is>
      </c>
    </row>
    <row r="5">
      <c r="A5">
        <v>4</v>
      </c>
      <c r="B5">
        <v>20000000</v>
      </c>
      <c r="C5" t="inlineStr">
        <is>
          <t xml:space="preserve">4x Gorilla, 6h</t>
        </is>
      </c>
      <c r="D5" t="inlineStr">
        <is>
          <t xml:space="preserve">Existing rebirth cost anchor</t>
        </is>
      </c>
    </row>
    <row r="6">
      <c r="A6">
        <v>5</v>
      </c>
      <c r="B6">
        <v>50000000</v>
      </c>
      <c r="C6" t="inlineStr">
        <is>
          <t xml:space="preserve">5x Snake, 8h</t>
        </is>
      </c>
      <c r="D6" t="inlineStr">
        <is>
          <t xml:space="preserve">Existing rebirth cost anchor</t>
        </is>
      </c>
    </row>
    <row r="7">
      <c r="A7">
        <v>6</v>
      </c>
      <c r="B7">
        <v>200000000</v>
      </c>
      <c r="C7" t="inlineStr">
        <is>
          <t xml:space="preserve">6x T-Rex, 10h</t>
        </is>
      </c>
      <c r="D7" t="inlineStr">
        <is>
          <t xml:space="preserve">Existing rebirth cost anchor</t>
        </is>
      </c>
    </row>
  </sheetData>
  <autoFilter ref="A1:D7"/>
</worksheet>
</file>