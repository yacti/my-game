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5714ff3fccf4c2f" /></Relationships>
</file>

<file path=xl/workbook.xml><?xml version="1.0" encoding="utf-8"?>
<x:workbook xmlns:x="http://schemas.openxmlformats.org/spreadsheetml/2006/main">
  <x:sheets>
    <x:sheet xmlns:r="http://schemas.openxmlformats.org/officeDocument/2006/relationships" name="Export Summary" sheetId="1" r:id="Ra7c901a781594cd6"/>
    <x:sheet xmlns:r="http://schemas.openxmlformats.org/officeDocument/2006/relationships" name="README" sheetId="2" r:id="Rc852851c2cf64dfe"/>
    <x:sheet xmlns:r="http://schemas.openxmlformats.org/officeDocument/2006/relationships" name="Assumptions" sheetId="3" r:id="R144564a02eee4200"/>
    <x:sheet xmlns:r="http://schemas.openxmlformats.org/officeDocument/2006/relationships" name="Feeds" sheetId="4" r:id="R299f8674da5b4fc9"/>
    <x:sheet xmlns:r="http://schemas.openxmlformats.org/officeDocument/2006/relationships" name="Pets" sheetId="5" r:id="Ra073d5add2614a74"/>
    <x:sheet xmlns:r="http://schemas.openxmlformats.org/officeDocument/2006/relationships" name="Seeds" sheetId="6" r:id="R967cc9ca4bbc40b0"/>
    <x:sheet xmlns:r="http://schemas.openxmlformats.org/officeDocument/2006/relationships" name="LuckUpgrades" sheetId="7" r:id="R4a3a3b00d1fd43dc"/>
    <x:sheet xmlns:r="http://schemas.openxmlformats.org/officeDocument/2006/relationships" name="RollPads" sheetId="8" r:id="Rc735c0c880974c1c"/>
    <x:sheet xmlns:r="http://schemas.openxmlformats.org/officeDocument/2006/relationships" name="Rebirths" sheetId="9" r:id="Rc976a5fc020d426b"/>
  </x:sheets>
</x:workbook>
</file>

<file path=xl/comments1.xml><?xml version="1.0" encoding="utf-8"?>
<x:comments xmlns:x="http://schemas.openxmlformats.org/spreadsheetml/2006/main">
  <x:authors>
    <x:author>tc={B51F48B3-10C7-BDDA-B7EB-1EBCC28DE689}</x:author>
    <x:author>tc={148BF512-1456-84F7-3148-9238E087988F}</x:author>
  </x:authors>
  <x:commentList>
    <x:comment ref="E55" authorId="0">
      <x:text>
        <x:r>
          <x:t>tc={B51F48B3-10C7-BDDA-B7EB-1EBCC28DE689}:
[Threaded comment]
Your version of Excel allows you to read this threaded comment; however, any edits to it will get removed if the file is opened in a newer version of Excel. Learn more: https://go.microsoft.com/fwlink/?linkid=870924
Comment:
    Golden pet income continues from Unicorn at 5% compound growth per evolution.</x:t>
        </x:r>
      </x:text>
    </x:comment>
    <x:comment ref="F60" authorId="1">
      <x:text>
        <x:r>
          <x:t>tc={148BF512-1456-84F7-3148-9238E087988F}:
[Threaded comment]
Your version of Excel allows you to read this threaded comment; however, any edits to it will get removed if the file is opened in a newer version of Excel. Learn more: https://go.microsoft.com/fwlink/?linkid=870924
Comment:
    Golden evolution time follows a geometric curve from 250 minutes at Golden Pigeon to 2,000 minutes at Golden Unicorn.</x:t>
        </x:r>
      </x:text>
    </x:comment>
  </x:commentList>
</x:comments>
</file>

<file path=xl/sharedStrings.xml><?xml version="1.0" encoding="utf-8"?>
<x:sst xmlns:x="http://schemas.openxmlformats.org/spreadsheetml/2006/main">
  <x:si>
    <x:t xml:space="preserve">This document was exported from Numbers. Each table was converted to an Excel worksheet. All other objects on each Numbers sheet were placed on separate worksheets. Please be aware that formula calculations may differ in Excel.</x:t>
  </x:si>
  <x:si>
    <x:t xml:space="preserve">Numbers Sheet Name</x:t>
  </x:si>
  <x:si>
    <x:t xml:space="preserve">Numbers Table Name</x:t>
  </x:si>
  <x:si>
    <x:t xml:space="preserve">Excel Worksheet Name</x:t>
  </x:si>
  <x:si>
    <x:t xml:space="preserve">README</x:t>
  </x:si>
  <x:si>
    <x:t xml:space="preserve">Table 1</x:t>
  </x:si>
  <x:si>
    <x:t xml:space="preserve">Assumptions</x:t>
  </x:si>
  <x:si>
    <x:t xml:space="preserve">Feeds</x:t>
  </x:si>
  <x:si>
    <x:t xml:space="preserve">Pets</x:t>
  </x:si>
  <x:si>
    <x:t xml:space="preserve">Seeds</x:t>
  </x:si>
  <x:si>
    <x:t xml:space="preserve">LuckUpgrades</x:t>
  </x:si>
  <x:si>
    <x:t xml:space="preserve">RollPads</x:t>
  </x:si>
  <x:si>
    <x:t xml:space="preserve">Rebirths</x:t>
  </x:si>
  <x:si>
    <x:t xml:space="preserve">Game Balance Workbook</x:t>
  </x:si>
  <x:si>
    <x:t xml:space="preserve">Edit yellow/current-value columns to rebalance. Formula columns recalculate in Excel.</x:t>
  </x:si>
  <x:si>
    <x:t xml:space="preserve">Sheets</x:t>
  </x:si>
  <x:si>
    <x:t xml:space="preserve">Assumptions: global knobs used by formulas.</x:t>
  </x:si>
  <x:si>
    <x:t xml:space="preserve">Feeds: feed XP, grow rates, and effective XP/min.</x:t>
  </x:si>
  <x:si>
    <x:t xml:space="preserve">Pets: pet earnings, MaxXP, feed mapping, and calculated evolution minutes.</x:t>
  </x:si>
  <x:si>
    <x:t xml:space="preserve">RollPads: roll-pad upgrade costs.</x:t>
  </x:si>
  <x:si>
    <x:t xml:space="preserve">Rebirths: rebirth costs and anchor formula checks.</x:t>
  </x:si>
  <x:si>
    <x:t xml:space="preserve">Note: RollChanceN is displayed raw in roll UI as "1 in N".</x:t>
  </x:si>
  <x:si>
    <x:t xml:space="preserve">Key</x:t>
  </x:si>
  <x:si>
    <x:t xml:space="preserve">Value</x:t>
  </x:si>
  <x:si>
    <x:t xml:space="preserve">Description</x:t>
  </x:si>
  <x:si>
    <x:t xml:space="preserve">SeedMinutesRequired</x:t>
  </x:si>
  <x:si>
    <x:t xml:space="preserve">Default minutes used by seed formula price helper.</x:t>
  </x:si>
  <x:si>
    <x:t xml:space="preserve">TreeHarvestsPerSecond</x:t>
  </x:si>
  <x:si>
    <x:t xml:space="preserve">Tree effective XP/min assumes this many harvested fruits per second.</x:t>
  </x:si>
  <x:si>
    <x:t xml:space="preserve">PatchDefaultGrowRate</x:t>
  </x:si>
  <x:si>
    <x:t xml:space="preserve">Patches currently tick every second.</x:t>
  </x:si>
  <x:si>
    <x:t xml:space="preserve">LuckRawA</x:t>
  </x:si>
  <x:si>
    <x:t xml:space="preserve">Raw luck formula coefficient.</x:t>
  </x:si>
  <x:si>
    <x:t xml:space="preserve">LuckRawB</x:t>
  </x:si>
  <x:si>
    <x:t xml:space="preserve">Raw luck formula cubic multiplier.</x:t>
  </x:si>
  <x:si>
    <x:t xml:space="preserve">LuckRawExponent</x:t>
  </x:si>
  <x:si>
    <x:t xml:space="preserve">Raw luck formula exponent.</x:t>
  </x:si>
  <x:si>
    <x:t xml:space="preserve">FeedType</x:t>
  </x:si>
  <x:si>
    <x:t xml:space="preserve">FeedClass</x:t>
  </x:si>
  <x:si>
    <x:t xml:space="preserve">XP</x:t>
  </x:si>
  <x:si>
    <x:t xml:space="preserve">GrowRateSeconds</x:t>
  </x:si>
  <x:si>
    <x:t xml:space="preserve">EffectiveXPPerMinute</x:t>
  </x:si>
  <x:si>
    <x:t xml:space="preserve">Notes</x:t>
  </x:si>
  <x:si>
    <x:t xml:space="preserve">Order</x:t>
  </x:si>
  <x:si>
    <x:t xml:space="preserve">PetID</x:t>
  </x:si>
  <x:si>
    <x:t xml:space="preserve">DisplayName</x:t>
  </x:si>
  <x:si>
    <x:t xml:space="preserve">Rarity</x:t>
  </x:si>
  <x:si>
    <x:t xml:space="preserve">MoneyRatePerSecond</x:t>
  </x:si>
  <x:si>
    <x:t xml:space="preserve">MaxXP</x:t>
  </x:si>
  <x:si>
    <x:t xml:space="preserve">EvolutionFeedType</x:t>
  </x:si>
  <x:si>
    <x:t xml:space="preserve">FeedXPPerMinute</x:t>
  </x:si>
  <x:si>
    <x:t xml:space="preserve">ApproxMinutesToNext</x:t>
  </x:si>
  <x:si>
    <x:t xml:space="preserve">NextPetID</x:t>
  </x:si>
  <x:si>
    <x:t xml:space="preserve">Pet1</x:t>
  </x:si>
  <x:si>
    <x:t xml:space="preserve">Common</x:t>
  </x:si>
  <x:si>
    <x:t xml:space="preserve">Pet2</x:t>
  </x:si>
  <x:si>
    <x:t xml:space="preserve">Pet3</x:t>
  </x:si>
  <x:si>
    <x:t xml:space="preserve">Pet4</x:t>
  </x:si>
  <x:si>
    <x:t xml:space="preserve">Pet5</x:t>
  </x:si>
  <x:si>
    <x:t xml:space="preserve">Pet6</x:t>
  </x:si>
  <x:si>
    <x:t xml:space="preserve">Pet7</x:t>
  </x:si>
  <x:si>
    <x:t xml:space="preserve">Pet8</x:t>
  </x:si>
  <x:si>
    <x:t xml:space="preserve">Pet9</x:t>
  </x:si>
  <x:si>
    <x:t xml:space="preserve">Pet10</x:t>
  </x:si>
  <x:si>
    <x:t xml:space="preserve">Pet11</x:t>
  </x:si>
  <x:si>
    <x:t xml:space="preserve">Rare</x:t>
  </x:si>
  <x:si>
    <x:t xml:space="preserve">Pet12</x:t>
  </x:si>
  <x:si>
    <x:t xml:space="preserve">Pet13</x:t>
  </x:si>
  <x:si>
    <x:t xml:space="preserve">Pet14</x:t>
  </x:si>
  <x:si>
    <x:t xml:space="preserve">Pet15</x:t>
  </x:si>
  <x:si>
    <x:t xml:space="preserve">Pet16</x:t>
  </x:si>
  <x:si>
    <x:t xml:space="preserve">Pet17</x:t>
  </x:si>
  <x:si>
    <x:t xml:space="preserve">Pet18</x:t>
  </x:si>
  <x:si>
    <x:t xml:space="preserve">Pet19</x:t>
  </x:si>
  <x:si>
    <x:t xml:space="preserve">Pet20</x:t>
  </x:si>
  <x:si>
    <x:t xml:space="preserve">Pet21</x:t>
  </x:si>
  <x:si>
    <x:t xml:space="preserve">Epic</x:t>
  </x:si>
  <x:si>
    <x:t xml:space="preserve">Pet22</x:t>
  </x:si>
  <x:si>
    <x:t xml:space="preserve">Pet23</x:t>
  </x:si>
  <x:si>
    <x:t xml:space="preserve">Pet24</x:t>
  </x:si>
  <x:si>
    <x:t xml:space="preserve">Pet25</x:t>
  </x:si>
  <x:si>
    <x:t xml:space="preserve">Pet26</x:t>
  </x:si>
  <x:si>
    <x:t xml:space="preserve">Pet27</x:t>
  </x:si>
  <x:si>
    <x:t xml:space="preserve">Pet28</x:t>
  </x:si>
  <x:si>
    <x:t xml:space="preserve">Pet29</x:t>
  </x:si>
  <x:si>
    <x:t xml:space="preserve">Pet30</x:t>
  </x:si>
  <x:si>
    <x:t xml:space="preserve">Pet31</x:t>
  </x:si>
  <x:si>
    <x:t xml:space="preserve">Pet32</x:t>
  </x:si>
  <x:si>
    <x:t xml:space="preserve">Pet33</x:t>
  </x:si>
  <x:si>
    <x:t xml:space="preserve">Pet34</x:t>
  </x:si>
  <x:si>
    <x:t xml:space="preserve">Pet35</x:t>
  </x:si>
  <x:si>
    <x:t xml:space="preserve">Pet36</x:t>
  </x:si>
  <x:si>
    <x:t xml:space="preserve">Pet37</x:t>
  </x:si>
  <x:si>
    <x:t xml:space="preserve">Legendary</x:t>
  </x:si>
  <x:si>
    <x:t xml:space="preserve">Pet38</x:t>
  </x:si>
  <x:si>
    <x:t xml:space="preserve">Pet39</x:t>
  </x:si>
  <x:si>
    <x:t xml:space="preserve">Pet40</x:t>
  </x:si>
  <x:si>
    <x:t xml:space="preserve">Pet41</x:t>
  </x:si>
  <x:si>
    <x:t xml:space="preserve">Pet42</x:t>
  </x:si>
  <x:si>
    <x:t xml:space="preserve">Pet43</x:t>
  </x:si>
  <x:si>
    <x:t xml:space="preserve">Pet44</x:t>
  </x:si>
  <x:si>
    <x:t xml:space="preserve">Pet45</x:t>
  </x:si>
  <x:si>
    <x:t xml:space="preserve">Pet46</x:t>
  </x:si>
  <x:si>
    <x:t xml:space="preserve">Pet47</x:t>
  </x:si>
  <x:si>
    <x:t xml:space="preserve">Pet48</x:t>
  </x:si>
  <x:si>
    <x:t xml:space="preserve">Pet49</x:t>
  </x:si>
  <x:si>
    <x:t xml:space="preserve">Pet50</x:t>
  </x:si>
  <x:si>
    <x:t xml:space="preserve">Mythical</x:t>
  </x:si>
  <x:si>
    <x:t xml:space="preserve">Pet51</x:t>
  </x:si>
  <x:si>
    <x:t xml:space="preserve">Pet52</x:t>
  </x:si>
  <x:si>
    <x:t xml:space="preserve">Pet53</x:t>
  </x:si>
  <x:si>
    <x:t xml:space="preserve">Pet54</x:t>
  </x:si>
  <x:si>
    <x:t xml:space="preserve">Pet55</x:t>
  </x:si>
  <x:si>
    <x:t xml:space="preserve">Pet56</x:t>
  </x:si>
  <x:si>
    <x:t xml:space="preserve">Pet57</x:t>
  </x:si>
  <x:si>
    <x:t xml:space="preserve">Pet58</x:t>
  </x:si>
  <x:si>
    <x:t xml:space="preserve">Pet59</x:t>
  </x:si>
  <x:si>
    <x:t xml:space="preserve">Pet60</x:t>
  </x:si>
  <x:si>
    <x:t xml:space="preserve">Pet61</x:t>
  </x:si>
  <x:si>
    <x:t xml:space="preserve">Pet62</x:t>
  </x:si>
  <x:si>
    <x:t xml:space="preserve">Pet63</x:t>
  </x:si>
  <x:si>
    <x:t xml:space="preserve">Pet64</x:t>
  </x:si>
  <x:si>
    <x:t xml:space="preserve">Pet65</x:t>
  </x:si>
  <x:si>
    <x:t xml:space="preserve">Pet66</x:t>
  </x:si>
  <x:si>
    <x:t xml:space="preserve">Pet67</x:t>
  </x:si>
  <x:si>
    <x:t xml:space="preserve">Pet68</x:t>
  </x:si>
  <x:si>
    <x:t xml:space="preserve">Pet69</x:t>
  </x:si>
  <x:si>
    <x:t xml:space="preserve">Pet70</x:t>
  </x:si>
  <x:si>
    <x:t xml:space="preserve">Pet71</x:t>
  </x:si>
  <x:si>
    <x:t xml:space="preserve">Pet72</x:t>
  </x:si>
  <x:si>
    <x:t xml:space="preserve">Pet73</x:t>
  </x:si>
  <x:si>
    <x:t xml:space="preserve">Pet74</x:t>
  </x:si>
  <x:si>
    <x:t xml:space="preserve">Pet75</x:t>
  </x:si>
  <x:si>
    <x:t xml:space="preserve">Pet76</x:t>
  </x:si>
  <x:si>
    <x:t xml:space="preserve">Pet77</x:t>
  </x:si>
  <x:si>
    <x:t xml:space="preserve">Pet78</x:t>
  </x:si>
  <x:si>
    <x:t xml:space="preserve">Pet79</x:t>
  </x:si>
  <x:si>
    <x:t xml:space="preserve">Pet80</x:t>
  </x:si>
  <x:si>
    <x:t xml:space="preserve">Pet81</x:t>
  </x:si>
  <x:si>
    <x:t xml:space="preserve">Pet82</x:t>
  </x:si>
  <x:si>
    <x:t xml:space="preserve">Pet83</x:t>
  </x:si>
  <x:si>
    <x:t xml:space="preserve">Pet84</x:t>
  </x:si>
  <x:si>
    <x:t xml:space="preserve">Pet85</x:t>
  </x:si>
  <x:si>
    <x:t xml:space="preserve">Pet86</x:t>
  </x:si>
  <x:si>
    <x:t xml:space="preserve">Pet87</x:t>
  </x:si>
  <x:si>
    <x:t xml:space="preserve">Pet88</x:t>
  </x:si>
  <x:si>
    <x:t xml:space="preserve">Pet89</x:t>
  </x:si>
  <x:si>
    <x:t xml:space="preserve">Pet90</x:t>
  </x:si>
  <x:si>
    <x:t xml:space="preserve">Pet91</x:t>
  </x:si>
  <x:si>
    <x:t xml:space="preserve">Pet92</x:t>
  </x:si>
  <x:si>
    <x:t xml:space="preserve">Pet93</x:t>
  </x:si>
  <x:si>
    <x:t xml:space="preserve">Pet94</x:t>
  </x:si>
  <x:si>
    <x:t xml:space="preserve">Pet95</x:t>
  </x:si>
  <x:si>
    <x:t xml:space="preserve">Pet96</x:t>
  </x:si>
  <x:si>
    <x:t xml:space="preserve">Pet97</x:t>
  </x:si>
  <x:si>
    <x:t xml:space="preserve">Pet98</x:t>
  </x:si>
  <x:si>
    <x:t xml:space="preserve">Pet99</x:t>
  </x:si>
  <x:si>
    <x:t xml:space="preserve">Pet100</x:t>
  </x:si>
  <x:si>
    <x:t xml:space="preserve">Pet101</x:t>
  </x:si>
  <x:si>
    <x:t xml:space="preserve">Pet102</x:t>
  </x:si>
  <x:si>
    <x:t xml:space="preserve">Pet103</x:t>
  </x:si>
  <x:si>
    <x:t xml:space="preserve">Pet104</x:t>
  </x:si>
  <x:si>
    <x:t xml:space="preserve">Pet105</x:t>
  </x:si>
  <x:si>
    <x:t xml:space="preserve">Pet106</x:t>
  </x:si>
  <x:si>
    <x:t xml:space="preserve">SeedID</x:t>
  </x:si>
  <x:si>
    <x:t xml:space="preserve">RollChanceN</x:t>
  </x:si>
  <x:si>
    <x:t xml:space="preserve">RawChanceLabel</x:t>
  </x:si>
  <x:si>
    <x:t xml:space="preserve">MatchedPetID</x:t>
  </x:si>
  <x:si>
    <x:t xml:space="preserve">MatchedPetName</x:t>
  </x:si>
  <x:si>
    <x:t xml:space="preserve">MatchedMoneyRate</x:t>
  </x:si>
  <x:si>
    <x:t xml:space="preserve">MinutesRequired</x:t>
  </x:si>
  <x:si>
    <x:t xml:space="preserve">FormulaPrice</x:t>
  </x:si>
  <x:si>
    <x:t xml:space="preserve">CurrentPrice</x:t>
  </x:si>
  <x:si>
    <x:t xml:space="preserve">PriceDelta</x:t>
  </x:si>
  <x:si>
    <x:t xml:space="preserve">UpgradeLevel</x:t>
  </x:si>
  <x:si>
    <x:t xml:space="preserve">UnlockedPads</x:t>
  </x:si>
  <x:si>
    <x:t xml:space="preserve">Price</x:t>
  </x:si>
  <x:si>
    <x:t xml:space="preserve">CumulativePrice</x:t>
  </x:si>
  <x:si>
    <x:t xml:space="preserve">2/5</x:t>
  </x:si>
  <x:si>
    <x:t xml:space="preserve">3/5</x:t>
  </x:si>
  <x:si>
    <x:t xml:space="preserve">4/5</x:t>
  </x:si>
  <x:si>
    <x:t xml:space="preserve">5/5</x:t>
  </x:si>
  <x:si>
    <x:t xml:space="preserve">RebirthTier</x:t>
  </x:si>
  <x:si>
    <x:t xml:space="preserve">CurrentCost</x:t>
  </x:si>
  <x:si>
    <x:t xml:space="preserve">AnchorPetCount</x:t>
  </x:si>
  <x:si>
    <x:t xml:space="preserve">AnchorPetName</x:t>
  </x:si>
  <x:si>
    <x:t xml:space="preserve">AnchorPetEarnRate</x:t>
  </x:si>
  <x:si>
    <x:t xml:space="preserve">HoursRequired</x:t>
  </x:si>
  <x:si>
    <x:t xml:space="preserve">FormulaCost</x:t>
  </x:si>
  <x:si>
    <x:t xml:space="preserve">CostDelta</x:t>
  </x:si>
  <x:si>
    <x:t xml:space="preserve">Golden Retriver</x:t>
  </x:si>
  <x:si>
    <x:t xml:space="preserve">Lizard</x:t>
  </x:si>
  <x:si>
    <x:t xml:space="preserve">Ostrich</x:t>
  </x:si>
  <x:si>
    <x:t xml:space="preserve">Gorilla</x:t>
  </x:si>
  <x:si>
    <x:t xml:space="preserve">Snake</x:t>
  </x:si>
  <x:si>
    <x:t xml:space="preserve">T-Rex</x:t>
  </x:si>
</x:sst>
</file>

<file path=xl/styles.xml><?xml version="1.0" encoding="utf-8"?>
<x:styleSheet xmlns:x="http://schemas.openxmlformats.org/spreadsheetml/2006/main">
  <x:numFmts count="5">
    <x:numFmt numFmtId="0" formatCode="General"/>
    <x:numFmt numFmtId="59" formatCode="0.0"/>
    <x:numFmt numFmtId="200" formatCode="#,##0"/>
    <x:numFmt numFmtId="201" formatCode="0.00&quot;x&quot;"/>
    <x:numFmt numFmtId="202" formatCode="0.00"/>
  </x:numFmts>
  <x:fonts count="11">
    <x:font>
      <x:sz val="11"/>
      <x:color indexed="8"/>
      <x:name val="Calibri"/>
    </x:font>
    <x:font>
      <x:sz val="12"/>
      <x:color indexed="8"/>
      <x:name val="Calibri"/>
    </x:font>
    <x:font>
      <x:sz val="14"/>
      <x:color indexed="8"/>
      <x:name val="Calibri"/>
    </x:font>
    <x:font>
      <x:sz val="12"/>
      <x:color indexed="8"/>
      <x:name val="Helvetica Neue"/>
    </x:font>
    <x:font>
      <x:sz val="12"/>
      <x:color indexed="11"/>
      <x:name val="Calibri"/>
    </x:font>
    <x:font>
      <x:sz val="15"/>
      <x:color indexed="8"/>
      <x:name val="Calibri"/>
    </x:font>
    <x:font>
      <x:b/>
      <x:sz val="11"/>
      <x:color indexed="8"/>
      <x:name val="Calibri"/>
    </x:font>
    <x:font>
      <x:sz val="11"/>
      <x:color indexed="8"/>
      <x:name val="Helvetica Neue"/>
    </x:font>
    <x:font>
      <x:b/>
      <x:sz val="14"/>
      <x:color rgb="FF0F172A"/>
      <x:name val="Calibri"/>
    </x:font>
    <x:font>
      <x:sz val="12"/>
      <x:color rgb="FF0F172A"/>
      <x:name val="Calibri"/>
    </x:font>
    <x:font>
      <x:b/>
      <x:sz val="11"/>
      <x:color rgb="FF000000"/>
      <x:name val="Calibri"/>
    </x:font>
  </x:fonts>
  <x:fills count="7">
    <x:fill>
      <x:patternFill patternType="none"/>
    </x:fill>
    <x:fill>
      <x:patternFill patternType="gray125"/>
    </x:fill>
    <x:fill>
      <x:patternFill patternType="solid">
        <x:fgColor indexed="9"/>
      </x:patternFill>
    </x:fill>
    <x:fill>
      <x:patternFill patternType="solid">
        <x:fgColor indexed="10"/>
      </x:patternFill>
    </x:fill>
    <x:fill>
      <x:patternFill patternType="solid">
        <x:fgColor indexed="13"/>
      </x:patternFill>
    </x:fill>
    <x:fill>
      <x:patternFill patternType="solid">
        <x:fgColor rgb="FFE2E8F0"/>
      </x:patternFill>
    </x:fill>
    <x:fill>
      <x:patternFill patternType="solid">
        <x:fgColor rgb="FFFFFFFF"/>
      </x:patternFill>
    </x:fill>
  </x:fills>
  <x:borders count="4">
    <x:border/>
    <x:border>
      <x:left style="thin">
        <x:color indexed="12"/>
      </x:left>
      <x:right style="thin">
        <x:color indexed="12"/>
      </x:right>
      <x:top style="thin">
        <x:color indexed="12"/>
      </x:top>
      <x:bottom style="thin">
        <x:color indexed="12"/>
      </x:bottom>
    </x:border>
    <x:border>
      <x:left style="thin">
        <x:color rgb="FF0000FF"/>
      </x:left>
      <x:right style="thin">
        <x:color rgb="FF0000FF"/>
      </x:right>
      <x:top style="thin">
        <x:color rgb="FF0000FF"/>
      </x:top>
      <x:bottom style="thin">
        <x:color rgb="FF0000FF"/>
      </x:bottom>
    </x:border>
    <x:border>
      <x:left style="thin">
        <x:color rgb="FF0000FF"/>
      </x:left>
      <x:right style="thin">
        <x:color rgb="FF0000FF"/>
      </x:right>
      <x:top style="thin">
        <x:color rgb="FF0000FF"/>
      </x:top>
      <x:bottom style="thin">
        <x:color rgb="FF0000FF"/>
      </x:bottom>
    </x:border>
  </x:borders>
  <x:cellStyleXfs count="1">
    <x:xf numFmtId="0" fontId="0" applyNumberFormat="0" applyFont="1" applyFill="0" applyBorder="0" applyAlignment="1" applyProtection="0">
      <x:alignment vertical="bottom"/>
    </x:xf>
  </x:cellStyleXfs>
  <x:cellXfs count="35">
    <x:xf numFmtId="0" fontId="0" applyNumberFormat="0" applyFont="1" applyFill="0" applyBorder="0" applyAlignment="1">
      <x:alignment vertical="bottom"/>
    </x:xf>
    <x:xf numFmtId="0" fontId="1" applyNumberFormat="0" applyFont="1" applyFill="0" applyBorder="0" applyAlignment="1">
      <x:alignment horizontal="left" vertical="bottom" wrapText="1"/>
    </x:xf>
    <x:xf numFmtId="0" fontId="2" applyNumberFormat="0" applyFont="1" applyFill="0" applyBorder="0" applyAlignment="1">
      <x:alignment horizontal="left" vertical="bottom"/>
    </x:xf>
    <x:xf numFmtId="0" fontId="1" fillId="2" applyNumberFormat="0" applyFont="1" applyFill="1" applyBorder="0" applyAlignment="1">
      <x:alignment horizontal="left" vertical="bottom"/>
    </x:xf>
    <x:xf numFmtId="0" fontId="1" fillId="3" applyNumberFormat="0" applyFont="1" applyFill="1" applyBorder="0" applyAlignment="1">
      <x:alignment horizontal="left" vertical="bottom"/>
    </x:xf>
    <x:xf numFmtId="0" fontId="4" fillId="3" applyNumberFormat="0" applyFont="1" applyFill="1" applyBorder="0" applyAlignment="1">
      <x:alignment horizontal="left" vertical="bottom"/>
    </x:xf>
    <x:xf numFmtId="0" fontId="0" applyNumberFormat="1" applyFont="1" applyFill="0" applyBorder="0" applyAlignment="1">
      <x:alignment vertical="bottom"/>
    </x:xf>
    <x:xf numFmtId="49" fontId="6" borderId="1" applyNumberFormat="1" applyFont="1" applyFill="0" applyBorder="1" applyAlignment="1">
      <x:alignment vertical="bottom"/>
    </x:xf>
    <x:xf numFmtId="0" fontId="0" borderId="1" applyNumberFormat="0" applyFont="1" applyFill="0" applyBorder="1" applyAlignment="1">
      <x:alignment vertical="bottom"/>
    </x:xf>
    <x:xf numFmtId="49" fontId="0" borderId="1" applyNumberFormat="1" applyFont="1" applyFill="0" applyBorder="1" applyAlignment="1">
      <x:alignment vertical="bottom"/>
    </x:xf>
    <x:xf numFmtId="0" fontId="0" applyNumberFormat="1" applyFont="1" applyFill="0" applyBorder="0" applyAlignment="1">
      <x:alignment vertical="bottom"/>
    </x:xf>
    <x:xf numFmtId="0" fontId="0" borderId="1" applyNumberFormat="1" applyFont="1" applyFill="0" applyBorder="1" applyAlignment="1">
      <x:alignment vertical="bottom"/>
    </x:xf>
    <x:xf numFmtId="0" fontId="0" applyNumberFormat="1" applyFont="1" applyFill="0" applyBorder="0" applyAlignment="1">
      <x:alignment vertical="bottom"/>
    </x:xf>
    <x:xf numFmtId="3" fontId="0" borderId="1" applyNumberFormat="1" applyFont="1" applyFill="0" applyBorder="1" applyAlignment="1">
      <x:alignment vertical="bottom"/>
    </x:xf>
    <x:xf numFmtId="49" fontId="0" fillId="4" borderId="1" applyNumberFormat="1" applyFont="1" applyFill="1" applyBorder="1" applyAlignment="1">
      <x:alignment vertical="bottom" wrapText="1"/>
    </x:xf>
    <x:xf numFmtId="0" fontId="0" fillId="4" borderId="1" applyNumberFormat="0" applyFont="1" applyFill="1" applyBorder="1" applyAlignment="1">
      <x:alignment vertical="bottom" wrapText="1"/>
    </x:xf>
    <x:xf numFmtId="0" fontId="0" applyNumberFormat="1" applyFont="1" applyFill="0" applyBorder="0" applyAlignment="1">
      <x:alignment vertical="bottom"/>
    </x:xf>
    <x:xf numFmtId="59" fontId="0" borderId="1" applyNumberFormat="1" applyFont="1" applyFill="0" applyBorder="1"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2" fillId="5" xfId="0" applyNumberFormat="1" applyFont="1" applyFill="1" applyBorder="0" applyAlignment="1">
      <x:alignment horizontal="left" vertical="bottom"/>
    </x:xf>
    <x:xf numFmtId="0" fontId="8" fillId="5" xfId="0" applyNumberFormat="1" applyFont="1" applyFill="1" applyBorder="0" applyAlignment="1">
      <x:alignment horizontal="left" vertical="bottom"/>
    </x:xf>
    <x:xf numFmtId="0" fontId="1" fillId="6" xfId="0" applyNumberFormat="1" applyFont="1" applyFill="1" applyBorder="0" applyAlignment="1">
      <x:alignment horizontal="left" vertical="bottom"/>
    </x:xf>
    <x:xf numFmtId="0" fontId="4" fillId="6" xfId="0" applyNumberFormat="1" applyFont="1" applyFill="1" applyBorder="0" applyAlignment="1">
      <x:alignment horizontal="left" vertical="bottom"/>
    </x:xf>
    <x:xf numFmtId="0" fontId="9" fillId="6" xfId="0" applyNumberFormat="1" applyFont="1" applyFill="1" applyBorder="0" applyAlignment="1">
      <x:alignment horizontal="left" vertical="bottom"/>
    </x:xf>
    <x:xf numFmtId="0" fontId="0" borderId="2" xfId="0" applyNumberFormat="1" applyFont="1" applyFill="0" applyBorder="1" applyAlignment="1">
      <x:alignment vertical="bottom"/>
    </x:xf>
    <x:xf numFmtId="0" fontId="10" borderId="2" xfId="0" applyNumberFormat="1" applyFont="1" applyFill="0" applyBorder="1" applyAlignment="1">
      <x:alignment vertical="bottom"/>
    </x:xf>
    <x:xf numFmtId="200" fontId="0" borderId="2" xfId="0" applyNumberFormat="1" applyFont="1" applyFill="0" applyBorder="1" applyAlignment="1">
      <x:alignment vertical="bottom"/>
    </x:xf>
    <x:xf numFmtId="0" fontId="0" borderId="3" xfId="0" applyNumberFormat="1" applyFont="1" applyFill="0" applyBorder="1" applyAlignment="1">
      <x:alignment vertical="bottom"/>
    </x:xf>
    <x:xf numFmtId="200" fontId="0" borderId="1" xfId="0" applyNumberFormat="1" applyFont="1" applyFill="0" applyBorder="1" applyAlignment="1">
      <x:alignment vertical="bottom"/>
    </x:xf>
    <x:xf numFmtId="200" fontId="0" borderId="3" xfId="0" applyNumberFormat="1" applyFont="1" applyFill="0" applyBorder="1" applyAlignment="1">
      <x:alignment vertical="bottom"/>
    </x:xf>
    <x:xf numFmtId="201" fontId="0" borderId="2" xfId="0" applyNumberFormat="1" applyFont="1" applyFill="0" applyBorder="1" applyAlignment="1">
      <x:alignment vertical="bottom"/>
    </x:xf>
    <x:xf numFmtId="202" fontId="0" borderId="2" xfId="0" applyNumberFormat="1" applyFont="1" applyFill="0" applyBorder="1" applyAlignment="1">
      <x:alignment vertical="bottom"/>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000000"/>
      <x:rgbColor rgb="FF5E88B1"/>
      <x:rgbColor rgb="FFEEF3F4"/>
      <x:rgbColor rgb="FF0000FF"/>
      <x:rgbColor rgb="FFAAAAAA"/>
      <x:rgbColor rgb="FFFFFFFF"/>
    </x:indexedColors>
  </x:colors>
</x:styleSheet>
</file>

<file path=xl/_rels/workbook.xml.rels>&#65279;<?xml version="1.0" encoding="utf-8"?><Relationships xmlns="http://schemas.openxmlformats.org/package/2006/relationships"><Relationship Type="http://schemas.openxmlformats.org/officeDocument/2006/relationships/styles" Target="/xl/styles.xml" Id="Ra02dfe6acae143e2" /><Relationship Type="http://schemas.openxmlformats.org/officeDocument/2006/relationships/theme" Target="/xl/theme/theme1.xml" Id="R63fc58efceec4aea" /><Relationship Type="http://schemas.openxmlformats.org/officeDocument/2006/relationships/sharedStrings" Target="/xl/sharedStrings.xml" Id="R00bc785264ed402b" /><Relationship Type="http://schemas.openxmlformats.org/officeDocument/2006/relationships/worksheet" Target="/xl/worksheets/sheet1.xml" Id="Ra7c901a781594cd6" /><Relationship Type="http://schemas.openxmlformats.org/officeDocument/2006/relationships/worksheet" Target="/xl/worksheets/sheet2.xml" Id="Rc852851c2cf64dfe" /><Relationship Type="http://schemas.openxmlformats.org/officeDocument/2006/relationships/worksheet" Target="/xl/worksheets/sheet3.xml" Id="R144564a02eee4200" /><Relationship Type="http://schemas.openxmlformats.org/officeDocument/2006/relationships/worksheet" Target="/xl/worksheets/sheet4.xml" Id="R299f8674da5b4fc9" /><Relationship Type="http://schemas.openxmlformats.org/officeDocument/2006/relationships/worksheet" Target="/xl/worksheets/sheet5.xml" Id="Ra073d5add2614a74" /><Relationship Type="http://schemas.openxmlformats.org/officeDocument/2006/relationships/worksheet" Target="/xl/worksheets/sheet6.xml" Id="R967cc9ca4bbc40b0" /><Relationship Type="http://schemas.openxmlformats.org/officeDocument/2006/relationships/worksheet" Target="/xl/worksheets/sheet7.xml" Id="R4a3a3b00d1fd43dc" /><Relationship Type="http://schemas.openxmlformats.org/officeDocument/2006/relationships/worksheet" Target="/xl/worksheets/sheet8.xml" Id="Rc735c0c880974c1c" /><Relationship Type="http://schemas.openxmlformats.org/officeDocument/2006/relationships/worksheet" Target="/xl/worksheets/sheet9.xml" Id="Rc976a5fc020d426b" /><Relationship Type="http://schemas.microsoft.com/office/2017/10/relationships/person" Target="/xl/persons/person.xml" Id="R950d8cccd90242c1" /></Relationships>
</file>

<file path=xl/persons/person.xml><?xml version="1.0" encoding="utf-8"?>
<xltc:personList xmlns:xltc="http://schemas.microsoft.com/office/spreadsheetml/2018/threadedcomments">
  <xltc:person displayName="tc={B51F48B3-10C7-BDDA-B7EB-1EBCC28DE689}" id="{968A288A-DE68-DBDA-034A-EA848626A588}"/>
  <xltc:person displayName="tc={148BF512-1456-84F7-3148-9238E087988F}" id="{AB5E4179-EB5A-C529-AE3B-48B2230FFFEF}"/>
</xltc:personList>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comments" Target="/xl/comments1.xml" Id="R1c1772b27cf74672" /><Relationship Type="http://schemas.openxmlformats.org/officeDocument/2006/relationships/vmlDrawing" Target="/xl/drawings/vmldrawing.vml" Id="R8f1052960c054454" /></Relationships>
</file>

<file path=xl/worksheets/sheet1.xml><?xml version="1.0" encoding="utf-8"?>
<x:worksheet xmlns:x="http://schemas.openxmlformats.org/spreadsheetml/2006/main">
  <x:sheetViews>
    <x:sheetView showGridLines="0" workbookViewId="0"/>
  </x:sheetViews>
  <x:sheetFormatPr defaultColWidth="10" defaultRowHeight="13"/>
  <x:cols>
    <x:col min="1" max="1" width="2" customWidth="1"/>
    <x:col min="2" max="4" width="30.55470085144043" customWidth="1"/>
  </x:cols>
  <x:sheetData>
    <x:row r="3" ht="0.05000000074505806" customHeight="1">
      <x:c r="B3" s="1" t="s">
        <x:v>0</x:v>
      </x:c>
      <x:c r="C3"/>
      <x:c r="D3"/>
    </x:row>
    <x:row r="7">
      <x:c r="B7" s="23" t="s">
        <x:v>1</x:v>
      </x:c>
      <x:c r="C7" s="23" t="s">
        <x:v>2</x:v>
      </x:c>
      <x:c r="D7" s="23" t="s">
        <x:v>3</x:v>
      </x:c>
    </x:row>
    <x:row r="9">
      <x:c r="B9" s="26" t="s">
        <x:v>4</x:v>
      </x:c>
      <x:c r="C9" s="26"/>
      <x:c r="D9" s="26"/>
    </x:row>
    <x:row r="10">
      <x:c r="B10" s="26"/>
      <x:c r="C10" s="26" t="s">
        <x:v>5</x:v>
      </x:c>
      <x:c r="D10" s="26" t="s">
        <x:v>4</x:v>
      </x:c>
    </x:row>
    <x:row r="11">
      <x:c r="B11" s="26" t="s">
        <x:v>6</x:v>
      </x:c>
      <x:c r="C11" s="26"/>
      <x:c r="D11" s="26"/>
    </x:row>
    <x:row r="12">
      <x:c r="B12" s="26"/>
      <x:c r="C12" s="26" t="s">
        <x:v>5</x:v>
      </x:c>
      <x:c r="D12" s="26" t="s">
        <x:v>6</x:v>
      </x:c>
    </x:row>
    <x:row r="13">
      <x:c r="B13" s="26" t="s">
        <x:v>7</x:v>
      </x:c>
      <x:c r="C13" s="26"/>
      <x:c r="D13" s="26"/>
    </x:row>
    <x:row r="14">
      <x:c r="B14" s="26"/>
      <x:c r="C14" s="26" t="s">
        <x:v>5</x:v>
      </x:c>
      <x:c r="D14" s="26" t="s">
        <x:v>7</x:v>
      </x:c>
    </x:row>
    <x:row r="15">
      <x:c r="B15" s="26" t="s">
        <x:v>8</x:v>
      </x:c>
      <x:c r="C15" s="26"/>
      <x:c r="D15" s="26"/>
    </x:row>
    <x:row r="16">
      <x:c r="B16" s="26"/>
      <x:c r="C16" s="26" t="s">
        <x:v>5</x:v>
      </x:c>
      <x:c r="D16" s="26" t="s">
        <x:v>8</x:v>
      </x:c>
    </x:row>
    <x:row r="17">
      <x:c r="B17" s="26" t="s">
        <x:v>9</x:v>
      </x:c>
      <x:c r="C17" s="26"/>
      <x:c r="D17" s="26"/>
    </x:row>
    <x:row r="18">
      <x:c r="B18" s="26"/>
      <x:c r="C18" s="26" t="s">
        <x:v>5</x:v>
      </x:c>
      <x:c r="D18" s="26" t="s">
        <x:v>9</x:v>
      </x:c>
    </x:row>
    <x:row r="19">
      <x:c r="B19" s="26" t="s">
        <x:v>10</x:v>
      </x:c>
      <x:c r="C19" s="26"/>
      <x:c r="D19" s="26"/>
    </x:row>
    <x:row r="20">
      <x:c r="B20" s="26"/>
      <x:c r="C20" s="26" t="s">
        <x:v>5</x:v>
      </x:c>
      <x:c r="D20" s="26" t="s">
        <x:v>10</x:v>
      </x:c>
    </x:row>
    <x:row r="21">
      <x:c r="B21" s="26" t="s">
        <x:v>11</x:v>
      </x:c>
      <x:c r="C21" s="26"/>
      <x:c r="D21" s="26"/>
    </x:row>
    <x:row r="22">
      <x:c r="B22" s="26"/>
      <x:c r="C22" s="26" t="s">
        <x:v>5</x:v>
      </x:c>
      <x:c r="D22" s="26" t="s">
        <x:v>11</x:v>
      </x:c>
    </x:row>
    <x:row r="23">
      <x:c r="B23" s="26" t="s">
        <x:v>12</x:v>
      </x:c>
      <x:c r="C23" s="26"/>
      <x:c r="D23" s="26"/>
    </x:row>
    <x:row r="24">
      <x:c r="B24" s="26"/>
      <x:c r="C24" s="26" t="s">
        <x:v>5</x:v>
      </x:c>
      <x:c r="D24" s="26" t="s">
        <x:v>12</x:v>
      </x:c>
    </x:row>
  </x:sheetData>
  <x:mergeCells>
    <x:mergeCell ref="B3:D3"/>
  </x:mergeCells>
  <x:hyperlinks>
    <x:hyperlink ref="D10" location="'README'!R1C1"/>
    <x:hyperlink ref="D12" location="'Assumptions'!R1C1"/>
    <x:hyperlink ref="D14" location="'Feeds'!R1C1"/>
    <x:hyperlink ref="D16" location="'Pets'!R1C1"/>
    <x:hyperlink ref="D18" location="'Seeds'!R1C1"/>
    <x:hyperlink ref="D20" location="'LuckUpgrades'!R1C1"/>
    <x:hyperlink ref="D22" location="'RollPads'!R1C1"/>
    <x:hyperlink ref="D24" location="'Rebirths'!R1C1"/>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4.5" defaultRowHeight="15"/>
  <x:cols>
    <x:col min="1" max="1" width="100" style="6" customWidth="1"/>
    <x:col min="2" max="5" width="14.5" style="6" customWidth="1"/>
    <x:col min="6" max="16384" width="14.5" style="6" customWidth="1"/>
  </x:cols>
  <x:sheetData>
    <x:row r="1" ht="13.550000190734863" customHeight="1">
      <x:c r="A1" s="7" t="s">
        <x:v>13</x:v>
      </x:c>
      <x:c r="B1" s="8"/>
      <x:c r="C1" s="8"/>
      <x:c r="D1" s="8"/>
      <x:c r="E1" s="8"/>
    </x:row>
    <x:row r="2" ht="13.550000190734863" customHeight="1">
      <x:c r="A2" s="9" t="s">
        <x:v>14</x:v>
      </x:c>
      <x:c r="B2" s="8"/>
      <x:c r="C2" s="8"/>
      <x:c r="D2" s="8"/>
      <x:c r="E2" s="8"/>
    </x:row>
    <x:row r="3" ht="13.550000190734863" customHeight="1">
      <x:c r="A3" s="9" t="s">
        <x:v>15</x:v>
      </x:c>
      <x:c r="B3" s="8"/>
      <x:c r="C3" s="8"/>
      <x:c r="D3" s="8"/>
      <x:c r="E3" s="8"/>
    </x:row>
    <x:row r="4" ht="13.550000190734863" customHeight="1">
      <x:c r="A4" s="9" t="s">
        <x:v>16</x:v>
      </x:c>
      <x:c r="B4" s="8"/>
      <x:c r="C4" s="8"/>
      <x:c r="D4" s="8"/>
      <x:c r="E4" s="8"/>
    </x:row>
    <x:row r="5" ht="13.550000190734863" customHeight="1">
      <x:c r="A5" s="9" t="s">
        <x:v>17</x:v>
      </x:c>
      <x:c r="B5" s="8"/>
      <x:c r="C5" s="8"/>
      <x:c r="D5" s="8"/>
      <x:c r="E5" s="8"/>
    </x:row>
    <x:row r="6" ht="13.550000190734863" customHeight="1">
      <x:c r="A6" s="9" t="s">
        <x:v>18</x:v>
      </x:c>
      <x:c r="B6" s="8"/>
      <x:c r="C6" s="8"/>
      <x:c r="D6" s="8"/>
      <x:c r="E6" s="8"/>
    </x:row>
    <x:row r="7" ht="13.550000190734863" customHeight="1">
      <x:c r="A7" s="9" t="str">
        <x:v>Seeds: roll rarity/chance/price, grow time, plus formula price helpers.</x:v>
      </x:c>
      <x:c r="B7" s="8"/>
      <x:c r="C7" s="8"/>
      <x:c r="D7" s="8"/>
      <x:c r="E7" s="8"/>
    </x:row>
    <x:row r="8" ht="13.550000190734863" customHeight="1">
      <x:c r="A8" s="9" t="str">
        <x:v>LuckUpgrades: 200 levels in 5% steps, reaching 1000% luck; levels 101-200 ramp from a 1x to 3x late-price multiplier.</x:v>
      </x:c>
      <x:c r="B8" s="8"/>
      <x:c r="C8" s="8"/>
      <x:c r="D8" s="8"/>
      <x:c r="E8" s="8"/>
    </x:row>
    <x:row r="9" ht="13.550000190734863" customHeight="1">
      <x:c r="A9" s="9" t="s">
        <x:v>19</x:v>
      </x:c>
      <x:c r="B9" s="8"/>
      <x:c r="C9" s="8"/>
      <x:c r="D9" s="8"/>
      <x:c r="E9" s="8"/>
    </x:row>
    <x:row r="10" ht="13.550000190734863" customHeight="1">
      <x:c r="A10" s="9" t="s">
        <x:v>20</x:v>
      </x:c>
      <x:c r="B10" s="8"/>
      <x:c r="C10" s="8"/>
      <x:c r="D10" s="8"/>
      <x:c r="E10" s="8"/>
    </x:row>
    <x:row r="11" ht="13.550000190734863" customHeight="1">
      <x:c r="A11" s="9" t="s">
        <x:v>21</x:v>
      </x:c>
      <x:c r="B11" s="8"/>
      <x:c r="C11" s="8"/>
      <x:c r="D11" s="8"/>
      <x:c r="E11" s="8"/>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4.5" defaultRowHeight="15"/>
  <x:cols>
    <x:col min="1" max="1" width="26" style="10" customWidth="1"/>
    <x:col min="2" max="2" width="14" style="10" customWidth="1"/>
    <x:col min="3" max="3" width="72" style="10" customWidth="1"/>
    <x:col min="4" max="5" width="14.5" style="10" customWidth="1"/>
    <x:col min="6" max="16384" width="14.5" style="10" customWidth="1"/>
  </x:cols>
  <x:sheetData>
    <x:row r="1" ht="13.550000190734863" customHeight="1">
      <x:c r="A1" s="7" t="s">
        <x:v>22</x:v>
      </x:c>
      <x:c r="B1" s="7" t="s">
        <x:v>23</x:v>
      </x:c>
      <x:c r="C1" s="7" t="s">
        <x:v>24</x:v>
      </x:c>
      <x:c r="D1" s="8"/>
      <x:c r="E1" s="8"/>
    </x:row>
    <x:row r="2" ht="13.550000190734863" customHeight="1">
      <x:c r="A2" s="9" t="s">
        <x:v>25</x:v>
      </x:c>
      <x:c r="B2" s="11">
        <x:v>3</x:v>
      </x:c>
      <x:c r="C2" s="9" t="s">
        <x:v>26</x:v>
      </x:c>
      <x:c r="D2" s="8"/>
      <x:c r="E2" s="8"/>
    </x:row>
    <x:row r="3" ht="13.550000190734863" customHeight="1">
      <x:c r="A3" s="9" t="s">
        <x:v>27</x:v>
      </x:c>
      <x:c r="B3" s="11">
        <x:v>1</x:v>
      </x:c>
      <x:c r="C3" s="9" t="s">
        <x:v>28</x:v>
      </x:c>
      <x:c r="D3" s="8"/>
      <x:c r="E3" s="8"/>
    </x:row>
    <x:row r="4" ht="13.550000190734863" customHeight="1">
      <x:c r="A4" s="9" t="s">
        <x:v>29</x:v>
      </x:c>
      <x:c r="B4" s="11">
        <x:v>1</x:v>
      </x:c>
      <x:c r="C4" s="9" t="s">
        <x:v>30</x:v>
      </x:c>
      <x:c r="D4" s="8"/>
      <x:c r="E4" s="8"/>
    </x:row>
    <x:row r="5" ht="13.550000190734863" customHeight="1">
      <x:c r="A5" s="9" t="str">
        <x:v>GoldenCapIncomePerSecond</x:v>
      </x:c>
      <x:c r="B5" s="31" t="n">
        <x:v>13500</x:v>
      </x:c>
      <x:c r="C5" s="9" t="str">
        <x:v>Golden Unicorn (Pet106) income used for late-game upgrade hour estimates.</x:v>
      </x:c>
      <x:c r="D5" s="8"/>
      <x:c r="E5" s="8"/>
    </x:row>
    <x:row r="6" ht="13.550000190734863" customHeight="1">
      <x:c r="A6" s="9" t="s">
        <x:v>31</x:v>
      </x:c>
      <x:c r="B6" s="31">
        <x:v>35</x:v>
      </x:c>
      <x:c r="C6" s="9" t="s">
        <x:v>32</x:v>
      </x:c>
      <x:c r="D6" s="8"/>
      <x:c r="E6" s="8"/>
    </x:row>
    <x:row r="7" ht="13.550000190734863" customHeight="1">
      <x:c r="A7" s="9" t="s">
        <x:v>33</x:v>
      </x:c>
      <x:c r="B7" s="31">
        <x:v>16</x:v>
      </x:c>
      <x:c r="C7" s="9" t="s">
        <x:v>34</x:v>
      </x:c>
      <x:c r="D7" s="8"/>
      <x:c r="E7" s="8"/>
    </x:row>
    <x:row r="8" ht="13.550000190734863" customHeight="1">
      <x:c r="A8" s="9" t="s">
        <x:v>35</x:v>
      </x:c>
      <x:c r="B8" s="31">
        <x:v>3.25</x:v>
      </x:c>
      <x:c r="C8" s="9" t="s">
        <x:v>36</x:v>
      </x:c>
      <x:c r="D8" s="8"/>
      <x:c r="E8" s="8"/>
    </x:row>
    <x:row r="9" ht="13.550000190734863" customHeight="1">
      <x:c r="A9" s="30" t="str">
        <x:v>GoldenEntryIncomePerSecond</x:v>
      </x:c>
      <x:c r="B9" s="32" t="n">
        <x:v>8100</x:v>
      </x:c>
      <x:c r="C9" s="30" t="str">
        <x:v>Golden Ankylosaurus (Pet96), the first Goldshroom-tier pet.</x:v>
      </x:c>
      <x:c r="D9" s="30"/>
      <x:c r="E9" s="30"/>
    </x:row>
    <x:row r="10" ht="13.550000190734863" customHeight="1">
      <x:c r="A10" s="30" t="str">
        <x:v>LuckLegacyMaxLevel</x:v>
      </x:c>
      <x:c r="B10" s="32" t="n">
        <x:v>100</x:v>
      </x:c>
      <x:c r="C10" s="30" t="str">
        <x:v>Existing luck levels and prices remain unchanged through this level.</x:v>
      </x:c>
      <x:c r="D10" s="30"/>
      <x:c r="E10" s="30"/>
    </x:row>
    <x:row r="11">
      <x:c r="A11" s="30" t="str">
        <x:v>LuckPercentPerLevel</x:v>
      </x:c>
      <x:c r="B11" s="32" t="n">
        <x:v>5</x:v>
      </x:c>
      <x:c r="C11" s="30" t="str">
        <x:v>Every luck upgrade adds five percentage points through level 200.</x:v>
      </x:c>
      <x:c r="D11" s="30"/>
      <x:c r="E11" s="30"/>
    </x:row>
    <x:row r="12">
      <x:c r="A12" s="30" t="str">
        <x:v>LuckLatePriceExponent</x:v>
      </x:c>
      <x:c r="B12" s="32" t="n">
        <x:v>4</x:v>
      </x:c>
      <x:c r="C12" s="30" t="str">
        <x:v>Late-game prices scale from the level-100 price by (level / 100)^exponent.</x:v>
      </x:c>
      <x:c r="D12" s="30"/>
      <x:c r="E12" s="30"/>
    </x:row>
    <x:row r="13">
      <x:c r="A13" s="30" t="str">
        <x:v>LuckLatePriceRounding</x:v>
      </x:c>
      <x:c r="B13" s="32" t="n">
        <x:v>100000</x:v>
      </x:c>
      <x:c r="C13" s="30" t="str">
        <x:v>Late-game prices round to the nearest currency increment.</x:v>
      </x:c>
      <x:c r="D13" s="30"/>
      <x:c r="E13" s="30"/>
    </x:row>
    <x:row r="14">
      <x:c r="A14" s="30" t="str">
        <x:v>LuckLateMaxPriceMultiplier</x:v>
      </x:c>
      <x:c r="B14" s="32" t="n">
        <x:v>3</x:v>
      </x:c>
      <x:c r="C14" s="30" t="str">
        <x:v>Price multiplier increases linearly from 1x at level 100 to this cap at level 200.</x:v>
      </x:c>
      <x:c r="D14" s="30"/>
      <x:c r="E14" s="30"/>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4.5" defaultRowHeight="15"/>
  <x:cols>
    <x:col min="1" max="1" width="29" style="12" customWidth="1"/>
    <x:col min="2" max="2" width="14" style="12" customWidth="1"/>
    <x:col min="3" max="3" width="12" style="12" customWidth="1"/>
    <x:col min="4" max="4" width="18" style="12" customWidth="1"/>
    <x:col min="5" max="5" width="22" style="12" customWidth="1"/>
    <x:col min="6" max="6" width="52" style="12" customWidth="1"/>
    <x:col min="7" max="16384" width="14.5" style="12" customWidth="1"/>
  </x:cols>
  <x:sheetData>
    <x:row r="1" ht="13.550000190734863" customHeight="1">
      <x:c r="A1" s="7" t="s">
        <x:v>37</x:v>
      </x:c>
      <x:c r="B1" s="7" t="s">
        <x:v>38</x:v>
      </x:c>
      <x:c r="C1" s="7" t="s">
        <x:v>39</x:v>
      </x:c>
      <x:c r="D1" s="7" t="s">
        <x:v>40</x:v>
      </x:c>
      <x:c r="E1" s="7" t="s">
        <x:v>41</x:v>
      </x:c>
      <x:c r="F1" s="7" t="s">
        <x:v>42</x:v>
      </x:c>
    </x:row>
    <x:row r="2" ht="13.550000190734863" customHeight="1">
      <x:c r="A2" s="9" t="str">
        <x:v>AppleTree</x:v>
      </x:c>
      <x:c r="B2" s="9" t="str">
        <x:v>Tree</x:v>
      </x:c>
      <x:c r="C2" s="13" t="n">
        <x:v>1</x:v>
      </x:c>
      <x:c r="D2" s="9"/>
      <x:c r="E2" s="13" t="n">
        <x:f>IF(B2="Patch",C2*60/D2,C2*'Assumptions'!$B$3*60)</x:f>
        <x:v>60</x:v>
      </x:c>
      <x:c r="F2" s="14" t="str">
        <x:v>starter tree</x:v>
      </x:c>
    </x:row>
    <x:row r="3" ht="13.550000190734863" customHeight="1">
      <x:c r="A3" s="9" t="str">
        <x:v>PumpkinPatch</x:v>
      </x:c>
      <x:c r="B3" s="9" t="str">
        <x:v>Patch</x:v>
      </x:c>
      <x:c r="C3" s="13" t="n">
        <x:v>2</x:v>
      </x:c>
      <x:c r="D3" s="13" t="n">
        <x:v>1</x:v>
      </x:c>
      <x:c r="E3" s="13" t="n">
        <x:f>IF(B3="Patch",C3*60/D3,C3*'Assumptions'!$B$3*60)</x:f>
        <x:v>120</x:v>
      </x:c>
      <x:c r="F3" s="14" t="str">
        <x:v>second progression patch</x:v>
      </x:c>
    </x:row>
    <x:row r="4" ht="13.550000190734863" customHeight="1">
      <x:c r="A4" s="9" t="str">
        <x:v>CabbagePatch</x:v>
      </x:c>
      <x:c r="B4" s="9" t="str">
        <x:v>Patch</x:v>
      </x:c>
      <x:c r="C4" s="13" t="n">
        <x:v>3</x:v>
      </x:c>
      <x:c r="D4" s="13" t="n">
        <x:v>1</x:v>
      </x:c>
      <x:c r="E4" s="13" t="n">
        <x:f>IF(B4="Patch",C4*60/D4,C4*'Assumptions'!$B$3*60)</x:f>
        <x:v>180</x:v>
      </x:c>
      <x:c r="F4" s="14" t="str">
        <x:v>third progression patch</x:v>
      </x:c>
    </x:row>
    <x:row r="5" ht="13.550000190734863" customHeight="1">
      <x:c r="A5" s="9" t="str">
        <x:v>PotatoPatch</x:v>
      </x:c>
      <x:c r="B5" s="9" t="str">
        <x:v>Patch</x:v>
      </x:c>
      <x:c r="C5" s="13" t="n">
        <x:v>4</x:v>
      </x:c>
      <x:c r="D5" s="13" t="n">
        <x:v>1</x:v>
      </x:c>
      <x:c r="E5" s="13" t="n">
        <x:f>IF(B5="Patch",C5*60/D5,C5*'Assumptions'!$B$3*60)</x:f>
        <x:v>240</x:v>
      </x:c>
      <x:c r="F5" s="15"/>
    </x:row>
    <x:row r="6" ht="13.550000190734863" customHeight="1">
      <x:c r="A6" s="9" t="str">
        <x:v>OrangeTree</x:v>
      </x:c>
      <x:c r="B6" s="9" t="str">
        <x:v>Tree</x:v>
      </x:c>
      <x:c r="C6" s="13" t="n">
        <x:v>15</x:v>
      </x:c>
      <x:c r="D6" s="13"/>
      <x:c r="E6" s="13" t="n">
        <x:f>IF(B6="Patch",C6*60/D6,C6*'Assumptions'!$B$3*60)</x:f>
        <x:v>900</x:v>
      </x:c>
      <x:c r="F6" s="15"/>
    </x:row>
    <x:row r="7" ht="13.550000190734863" customHeight="1">
      <x:c r="A7" s="9" t="str">
        <x:v>WatermelonPatch</x:v>
      </x:c>
      <x:c r="B7" s="9" t="str">
        <x:v>Patch</x:v>
      </x:c>
      <x:c r="C7" s="13" t="n">
        <x:v>7</x:v>
      </x:c>
      <x:c r="D7" s="13" t="n">
        <x:v>1</x:v>
      </x:c>
      <x:c r="E7" s="13" t="n">
        <x:f>IF(B7="Patch",C7*60/D7,C7*'Assumptions'!$B$3*60)</x:f>
        <x:v>420</x:v>
      </x:c>
      <x:c r="F7" s="15"/>
    </x:row>
    <x:row r="8" ht="13.550000190734863" customHeight="1">
      <x:c r="A8" s="9" t="str">
        <x:v>PlumTree</x:v>
      </x:c>
      <x:c r="B8" s="9" t="str">
        <x:v>Tree</x:v>
      </x:c>
      <x:c r="C8" s="13" t="n">
        <x:v>30</x:v>
      </x:c>
      <x:c r="D8" s="13"/>
      <x:c r="E8" s="13" t="n">
        <x:f>IF(B8="Patch",C8*60/D8,C8*'Assumptions'!$B$3*60)</x:f>
        <x:v>1800</x:v>
      </x:c>
      <x:c r="F8" s="15"/>
    </x:row>
    <x:row r="9" ht="13.550000190734863" customHeight="1">
      <x:c r="A9" s="9" t="str">
        <x:v>CornPatch</x:v>
      </x:c>
      <x:c r="B9" s="9" t="str">
        <x:v>Patch</x:v>
      </x:c>
      <x:c r="C9" s="13" t="n">
        <x:v>20</x:v>
      </x:c>
      <x:c r="D9" s="13" t="n">
        <x:v>1</x:v>
      </x:c>
      <x:c r="E9" s="13" t="n">
        <x:f>IF(B9="Patch",C9*60/D9,C9*'Assumptions'!$B$3*60)</x:f>
        <x:v>1200</x:v>
      </x:c>
      <x:c r="F9" s="15"/>
    </x:row>
    <x:row r="10" ht="13.550000190734863" customHeight="1">
      <x:c r="A10" s="9" t="str">
        <x:v>CherryTree</x:v>
      </x:c>
      <x:c r="B10" s="9" t="str">
        <x:v>Tree</x:v>
      </x:c>
      <x:c r="C10" s="13" t="n">
        <x:v>75</x:v>
      </x:c>
      <x:c r="D10" s="13"/>
      <x:c r="E10" s="13" t="n">
        <x:f>IF(B10="Patch",C10*60/D10,C10*'Assumptions'!$B$3*60)</x:f>
        <x:v>4500</x:v>
      </x:c>
      <x:c r="F10" s="15"/>
    </x:row>
    <x:row r="11" ht="13.550000190734863" customHeight="1">
      <x:c r="A11" s="9" t="str">
        <x:v>MushroomPatch</x:v>
      </x:c>
      <x:c r="B11" s="9" t="str">
        <x:v>Patch</x:v>
      </x:c>
      <x:c r="C11" s="13" t="n">
        <x:v>50</x:v>
      </x:c>
      <x:c r="D11" s="13" t="n">
        <x:v>1</x:v>
      </x:c>
      <x:c r="E11" s="13" t="n">
        <x:f>IF(B11="Patch",C11*60/D11,C11*'Assumptions'!$B$3*60)</x:f>
        <x:v>3000</x:v>
      </x:c>
      <x:c r="F11" s="15"/>
    </x:row>
    <x:row r="12" ht="13.550000190734863" customHeight="1">
      <x:c r="A12" s="9" t="str">
        <x:v>BananaTree</x:v>
      </x:c>
      <x:c r="B12" s="9" t="str">
        <x:v>Tree</x:v>
      </x:c>
      <x:c r="C12" s="13" t="n">
        <x:v>200</x:v>
      </x:c>
      <x:c r="D12" s="13"/>
      <x:c r="E12" s="13" t="n">
        <x:f>IF(B12="Patch",C12*60/D12,C12*'Assumptions'!$B$3*60)</x:f>
        <x:v>12000</x:v>
      </x:c>
      <x:c r="F12" s="15"/>
    </x:row>
    <x:row r="13" ht="13.550000190734863" customHeight="1">
      <x:c r="A13" s="9" t="str">
        <x:v>Cactus</x:v>
      </x:c>
      <x:c r="B13" s="9" t="str">
        <x:v>Tree</x:v>
      </x:c>
      <x:c r="C13" s="13" t="n">
        <x:v>175</x:v>
      </x:c>
      <x:c r="D13" s="13"/>
      <x:c r="E13" s="13" t="n">
        <x:f>IF(B13="Patch",C13*60/D13,C13*'Assumptions'!$B$3*60)</x:f>
        <x:v>10500</x:v>
      </x:c>
      <x:c r="F13" s="15"/>
    </x:row>
    <x:row r="14" ht="13.550000190734863" customHeight="1">
      <x:c r="A14" s="9" t="str">
        <x:v>PineapplePatch</x:v>
      </x:c>
      <x:c r="B14" s="9" t="str">
        <x:v>Patch</x:v>
      </x:c>
      <x:c r="C14" s="13" t="n">
        <x:v>225</x:v>
      </x:c>
      <x:c r="D14" s="13" t="n">
        <x:v>1</x:v>
      </x:c>
      <x:c r="E14" s="13" t="n">
        <x:f>IF(B14="Patch",C14*60/D14,C14*'Assumptions'!$B$3*60)</x:f>
        <x:v>13500</x:v>
      </x:c>
      <x:c r="F14" s="15"/>
    </x:row>
    <x:row r="15" ht="13.550000190734863" customHeight="1">
      <x:c r="A15" s="9" t="str">
        <x:v>FigTree</x:v>
      </x:c>
      <x:c r="B15" s="9" t="str">
        <x:v>Tree</x:v>
      </x:c>
      <x:c r="C15" s="13" t="n">
        <x:v>900</x:v>
      </x:c>
      <x:c r="D15" s="13"/>
      <x:c r="E15" s="13" t="n">
        <x:f>IF(B15="Patch",C15*60/D15,C15*'Assumptions'!$B$3*60)</x:f>
        <x:v>54000</x:v>
      </x:c>
      <x:c r="F15" s="15"/>
    </x:row>
    <x:row r="16" ht="13.550000190734863" customHeight="1">
      <x:c r="A16" s="9" t="str">
        <x:v>PurpleShroomPatch</x:v>
      </x:c>
      <x:c r="B16" s="9" t="str">
        <x:v>Patch</x:v>
      </x:c>
      <x:c r="C16" s="13" t="n">
        <x:v>650</x:v>
      </x:c>
      <x:c r="D16" s="13" t="n">
        <x:v>1</x:v>
      </x:c>
      <x:c r="E16" s="13" t="n">
        <x:f>IF(B16="Patch",C16*60/D16,C16*'Assumptions'!$B$3*60)</x:f>
        <x:v>39000</x:v>
      </x:c>
      <x:c r="F16" s="15"/>
    </x:row>
    <x:row r="17" ht="13.550000190734863" customHeight="1">
      <x:c r="A17" s="9" t="str">
        <x:v>BloodOrangeTree</x:v>
      </x:c>
      <x:c r="B17" s="9" t="str">
        <x:v>Tree</x:v>
      </x:c>
      <x:c r="C17" s="13" t="n">
        <x:v>2750</x:v>
      </x:c>
      <x:c r="D17" s="13"/>
      <x:c r="E17" s="13" t="n">
        <x:f>IF(B17="Patch",C17*60/D17,C17*'Assumptions'!$B$3*60)</x:f>
        <x:v>165000</x:v>
      </x:c>
      <x:c r="F17" s="15"/>
    </x:row>
    <x:row r="18" ht="13.550000190734863" customHeight="1">
      <x:c r="A18" s="9" t="str">
        <x:v>GlowshroomPatch</x:v>
      </x:c>
      <x:c r="B18" s="9" t="str">
        <x:v>Patch</x:v>
      </x:c>
      <x:c r="C18" s="13" t="n">
        <x:v>2000</x:v>
      </x:c>
      <x:c r="D18" s="13" t="n">
        <x:v>1</x:v>
      </x:c>
      <x:c r="E18" s="13" t="n">
        <x:f>IF(B18="Patch",C18*60/D18,C18*'Assumptions'!$B$3*60)</x:f>
        <x:v>120000</x:v>
      </x:c>
      <x:c r="F18" s="15"/>
    </x:row>
    <x:row r="19" ht="13.550000190734863" customHeight="1">
      <x:c r="A19" s="9" t="str">
        <x:v>DragonfruitTree</x:v>
      </x:c>
      <x:c r="B19" s="9" t="str">
        <x:v>Tree</x:v>
      </x:c>
      <x:c r="C19" s="13" t="n">
        <x:v>8500</x:v>
      </x:c>
      <x:c r="D19" s="13"/>
      <x:c r="E19" s="13" t="n">
        <x:f>IF(B19="Patch",C19*60/D19,C19*'Assumptions'!$B$3*60)</x:f>
        <x:v>510000</x:v>
      </x:c>
      <x:c r="F19" s="15"/>
    </x:row>
    <x:row r="20" ht="13.550000190734863" customHeight="1">
      <x:c r="A20" s="9" t="str">
        <x:v>GoldenAppleTree</x:v>
      </x:c>
      <x:c r="B20" s="9" t="str">
        <x:v>Tree</x:v>
      </x:c>
      <x:c r="C20" s="13" t="n">
        <x:v>14500</x:v>
      </x:c>
      <x:c r="D20" s="13"/>
      <x:c r="E20" s="13" t="n">
        <x:f>IF(B20="Patch",C20*60/D20,C20*'Assumptions'!$B$3*60)</x:f>
        <x:v>870000</x:v>
      </x:c>
      <x:c r="F20" s="15"/>
    </x:row>
    <x:row r="21" ht="15.75" customHeight="1">
      <x:c r="A21" s="9" t="str">
        <x:v>DurianTree</x:v>
      </x:c>
      <x:c r="B21" s="9" t="str">
        <x:v>Tree</x:v>
      </x:c>
      <x:c r="C21" s="13" t="n">
        <x:v>25000</x:v>
      </x:c>
      <x:c r="D21" s="13"/>
      <x:c r="E21" s="13" t="n">
        <x:f>IF(B21="Patch",C21*60/D21,C21*'Assumptions'!$B$3*60)</x:f>
        <x:v>1500000</x:v>
      </x:c>
      <x:c r="F21" s="15"/>
    </x:row>
    <x:row r="22" ht="15.75" customHeight="1">
      <x:c r="A22" s="9" t="str">
        <x:v>GoldenmelonPatch</x:v>
      </x:c>
      <x:c r="B22" s="9" t="str">
        <x:v>Patch</x:v>
      </x:c>
      <x:c r="C22" s="13" t="n">
        <x:v>50000</x:v>
      </x:c>
      <x:c r="D22" s="13" t="n">
        <x:v>1</x:v>
      </x:c>
      <x:c r="E22" s="13" t="n">
        <x:f>IF(B22="Patch",C22*60/D22,C22*'Assumptions'!$B$3*60)</x:f>
        <x:v>3000000</x:v>
      </x:c>
      <x:c r="F22" s="14" t="str">
        <x:v>Golden pet progression: Unicorn transition + Golden Chicken-Cow</x:v>
      </x:c>
    </x:row>
    <x:row r="23" ht="15.75" customHeight="1">
      <x:c r="A23" s="9" t="str">
        <x:v>GoldenCactus</x:v>
      </x:c>
      <x:c r="B23" s="9" t="str">
        <x:v>Tree</x:v>
      </x:c>
      <x:c r="C23" s="13" t="n">
        <x:v>125000</x:v>
      </x:c>
      <x:c r="D23" s="13"/>
      <x:c r="E23" s="13" t="n">
        <x:f>IF(B23="Patch",C23*60/D23,C23*'Assumptions'!$B$3*60)</x:f>
        <x:v>7500000</x:v>
      </x:c>
      <x:c r="F23" s="14" t="str">
        <x:v>Golden pet progression: Golden Bull-Snail</x:v>
      </x:c>
    </x:row>
    <x:row r="24" ht="15.75" customHeight="1">
      <x:c r="A24" s="9" t="str">
        <x:v>GoldenFigTree</x:v>
      </x:c>
      <x:c r="B24" s="9" t="str">
        <x:v>Tree</x:v>
      </x:c>
      <x:c r="C24" s="13" t="n">
        <x:v>300000</x:v>
      </x:c>
      <x:c r="D24" s="13"/>
      <x:c r="E24" s="13" t="n">
        <x:f>IF(B24="Patch",C24*60/D24,C24*'Assumptions'!$B$3*60)</x:f>
        <x:v>18000000</x:v>
      </x:c>
      <x:c r="F24" s="14" t="str">
        <x:v>Golden pet progression: Golden Crab-Elephant</x:v>
      </x:c>
    </x:row>
    <x:row r="25" ht="15.75" customHeight="1">
      <x:c r="A25" s="9" t="str">
        <x:v>GoldenDragonfruitTree</x:v>
      </x:c>
      <x:c r="B25" s="9" t="str">
        <x:v>Tree</x:v>
      </x:c>
      <x:c r="C25" s="13" t="n">
        <x:v>750000</x:v>
      </x:c>
      <x:c r="D25" s="13"/>
      <x:c r="E25" s="13" t="n">
        <x:f>IF(B25="Patch",C25*60/D25,C25*'Assumptions'!$B$3*60)</x:f>
        <x:v>45000000</x:v>
      </x:c>
      <x:c r="F25" s="14" t="str">
        <x:v>Golden pet progression: Golden Bear-Hydra</x:v>
      </x:c>
    </x:row>
    <x:row r="26" ht="15.75" customHeight="1">
      <x:c r="A26" s="9" t="str">
        <x:v>GoldshroomPatch</x:v>
      </x:c>
      <x:c r="B26" s="9" t="str">
        <x:v>Patch</x:v>
      </x:c>
      <x:c r="C26" s="13" t="n">
        <x:v>2000000</x:v>
      </x:c>
      <x:c r="D26" s="13" t="n">
        <x:v>1</x:v>
      </x:c>
      <x:c r="E26" s="13" t="n">
        <x:f>IF(B26="Patch",C26*60/D26,C26*'Assumptions'!$B$3*60)</x:f>
        <x:v>120000000</x:v>
      </x:c>
      <x:c r="F26" s="14" t="str">
        <x:v>Golden pet progression: Golden Ankylosaurus-Unicorn</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4.5" defaultRowHeight="15"/>
  <x:cols>
    <x:col min="1" max="1" width="8" style="16" customWidth="1"/>
    <x:col min="2" max="2" width="10" style="16" customWidth="1"/>
    <x:col min="3" max="3" width="27" style="16" customWidth="1"/>
    <x:col min="4" max="4" width="14" style="16" customWidth="1"/>
    <x:col min="5" max="5" width="20" style="16" customWidth="1"/>
    <x:col min="6" max="6" width="14" style="16" customWidth="1"/>
    <x:col min="7" max="7" width="27" style="16" customWidth="1"/>
    <x:col min="8" max="9" width="22" style="16" customWidth="1"/>
    <x:col min="10" max="10" width="12" style="16" customWidth="1"/>
    <x:col min="11" max="16384" width="14.5" style="16" customWidth="1"/>
  </x:cols>
  <x:sheetData>
    <x:row r="1" ht="13.550000190734863" customHeight="1">
      <x:c r="A1" s="7" t="s">
        <x:v>43</x:v>
      </x:c>
      <x:c r="B1" s="7" t="s">
        <x:v>44</x:v>
      </x:c>
      <x:c r="C1" s="7" t="s">
        <x:v>45</x:v>
      </x:c>
      <x:c r="D1" s="7" t="s">
        <x:v>46</x:v>
      </x:c>
      <x:c r="E1" s="7" t="s">
        <x:v>47</x:v>
      </x:c>
      <x:c r="F1" s="7" t="s">
        <x:v>48</x:v>
      </x:c>
      <x:c r="G1" s="7" t="s">
        <x:v>49</x:v>
      </x:c>
      <x:c r="H1" s="7" t="s">
        <x:v>50</x:v>
      </x:c>
      <x:c r="I1" s="7" t="s">
        <x:v>51</x:v>
      </x:c>
      <x:c r="J1" s="7" t="s">
        <x:v>52</x:v>
      </x:c>
    </x:row>
    <x:row r="2" ht="13.550000190734863" customHeight="1">
      <x:c r="A2" s="11">
        <x:v>1</x:v>
      </x:c>
      <x:c r="B2" s="9" t="s">
        <x:v>53</x:v>
      </x:c>
      <x:c r="C2" s="9" t="str">
        <x:v>Chicken</x:v>
      </x:c>
      <x:c r="D2" s="9" t="s">
        <x:v>54</x:v>
      </x:c>
      <x:c r="E2" s="13">
        <x:v>1</x:v>
      </x:c>
      <x:c r="F2" s="13">
        <x:v>25</x:v>
      </x:c>
      <x:c r="G2" s="9" t="str">
        <x:v>AppleTree</x:v>
      </x:c>
      <x:c r="H2" s="13" t="n">
        <x:f>IF(G2="","",VLOOKUP(G2,'Feeds'!$A$2:$E$26,5,FALSE))</x:f>
        <x:v>60</x:v>
      </x:c>
      <x:c r="I2" s="17" t="n">
        <x:f>IF(OR(F2="",H2=""),"",ROUND(F2/H2,1))</x:f>
        <x:v>0.4</x:v>
      </x:c>
      <x:c r="J2" s="9" t="s">
        <x:v>55</x:v>
      </x:c>
    </x:row>
    <x:row r="3" ht="13.550000190734863" customHeight="1">
      <x:c r="A3" s="11">
        <x:v>2</x:v>
      </x:c>
      <x:c r="B3" s="9" t="s">
        <x:v>55</x:v>
      </x:c>
      <x:c r="C3" s="9" t="str">
        <x:v>Hamster</x:v>
      </x:c>
      <x:c r="D3" s="9" t="s">
        <x:v>54</x:v>
      </x:c>
      <x:c r="E3" s="13">
        <x:v>2</x:v>
      </x:c>
      <x:c r="F3" s="13">
        <x:v>60</x:v>
      </x:c>
      <x:c r="G3" s="9" t="str">
        <x:v>AppleTree</x:v>
      </x:c>
      <x:c r="H3" s="13" t="n">
        <x:f>IF(G3="","",VLOOKUP(G3,'Feeds'!$A$2:$E$26,5,FALSE))</x:f>
        <x:v>60</x:v>
      </x:c>
      <x:c r="I3" s="17" t="n">
        <x:f>IF(OR(F3="",H3=""),"",ROUND(F3/H3,1))</x:f>
        <x:v>1</x:v>
      </x:c>
      <x:c r="J3" s="9" t="s">
        <x:v>56</x:v>
      </x:c>
    </x:row>
    <x:row r="4" ht="13.550000190734863" customHeight="1">
      <x:c r="A4" s="11">
        <x:v>3</x:v>
      </x:c>
      <x:c r="B4" s="9" t="s">
        <x:v>56</x:v>
      </x:c>
      <x:c r="C4" s="9" t="str">
        <x:v>Guinea Pig</x:v>
      </x:c>
      <x:c r="D4" s="9" t="s">
        <x:v>54</x:v>
      </x:c>
      <x:c r="E4" s="13">
        <x:v>3</x:v>
      </x:c>
      <x:c r="F4" s="13">
        <x:v>80</x:v>
      </x:c>
      <x:c r="G4" s="9" t="str">
        <x:v>AppleTree</x:v>
      </x:c>
      <x:c r="H4" s="13" t="n">
        <x:f>IF(G4="","",VLOOKUP(G4,'Feeds'!$A$2:$E$26,5,FALSE))</x:f>
        <x:v>60</x:v>
      </x:c>
      <x:c r="I4" s="17" t="n">
        <x:f>IF(OR(F4="",H4=""),"",ROUND(F4/H4,1))</x:f>
        <x:v>1.3</x:v>
      </x:c>
      <x:c r="J4" s="9" t="s">
        <x:v>57</x:v>
      </x:c>
    </x:row>
    <x:row r="5" ht="13.550000190734863" customHeight="1">
      <x:c r="A5" s="11">
        <x:v>4</x:v>
      </x:c>
      <x:c r="B5" s="9" t="s">
        <x:v>57</x:v>
      </x:c>
      <x:c r="C5" s="9" t="str">
        <x:v>Bunny</x:v>
      </x:c>
      <x:c r="D5" s="9" t="s">
        <x:v>54</x:v>
      </x:c>
      <x:c r="E5" s="13">
        <x:v>5</x:v>
      </x:c>
      <x:c r="F5" s="13">
        <x:v>150</x:v>
      </x:c>
      <x:c r="G5" s="9" t="str">
        <x:v>PumpkinPatch</x:v>
      </x:c>
      <x:c r="H5" s="13" t="n">
        <x:f>IF(G5="","",VLOOKUP(G5,'Feeds'!$A$2:$E$26,5,FALSE))</x:f>
        <x:v>120</x:v>
      </x:c>
      <x:c r="I5" s="17" t="n">
        <x:f>IF(OR(F5="",H5=""),"",ROUND(F5/H5,1))</x:f>
        <x:v>1.3</x:v>
      </x:c>
      <x:c r="J5" s="9" t="s">
        <x:v>58</x:v>
      </x:c>
    </x:row>
    <x:row r="6" ht="13.550000190734863" customHeight="1">
      <x:c r="A6" s="11">
        <x:v>5</x:v>
      </x:c>
      <x:c r="B6" s="9" t="s">
        <x:v>58</x:v>
      </x:c>
      <x:c r="C6" s="9" t="str">
        <x:v>Pigeon</x:v>
      </x:c>
      <x:c r="D6" s="9" t="s">
        <x:v>54</x:v>
      </x:c>
      <x:c r="E6" s="13">
        <x:v>6</x:v>
      </x:c>
      <x:c r="F6" s="13">
        <x:v>180</x:v>
      </x:c>
      <x:c r="G6" s="9" t="str">
        <x:v>PumpkinPatch</x:v>
      </x:c>
      <x:c r="H6" s="13" t="n">
        <x:f>IF(G6="","",VLOOKUP(G6,'Feeds'!$A$2:$E$26,5,FALSE))</x:f>
        <x:v>120</x:v>
      </x:c>
      <x:c r="I6" s="17" t="n">
        <x:f>IF(OR(F6="",H6=""),"",ROUND(F6/H6,1))</x:f>
        <x:v>1.5</x:v>
      </x:c>
      <x:c r="J6" s="9" t="s">
        <x:v>59</x:v>
      </x:c>
    </x:row>
    <x:row r="7" ht="13.550000190734863" customHeight="1">
      <x:c r="A7" s="11">
        <x:v>6</x:v>
      </x:c>
      <x:c r="B7" s="9" t="s">
        <x:v>59</x:v>
      </x:c>
      <x:c r="C7" s="9" t="str">
        <x:v>Parrot</x:v>
      </x:c>
      <x:c r="D7" s="9" t="s">
        <x:v>54</x:v>
      </x:c>
      <x:c r="E7" s="13">
        <x:v>8</x:v>
      </x:c>
      <x:c r="F7" s="13">
        <x:v>200</x:v>
      </x:c>
      <x:c r="G7" s="9" t="str">
        <x:v>PumpkinPatch</x:v>
      </x:c>
      <x:c r="H7" s="13" t="n">
        <x:f>IF(G7="","",VLOOKUP(G7,'Feeds'!$A$2:$E$26,5,FALSE))</x:f>
        <x:v>120</x:v>
      </x:c>
      <x:c r="I7" s="17" t="n">
        <x:f>IF(OR(F7="",H7=""),"",ROUND(F7/H7,1))</x:f>
        <x:v>1.7</x:v>
      </x:c>
      <x:c r="J7" s="9" t="s">
        <x:v>60</x:v>
      </x:c>
    </x:row>
    <x:row r="8" ht="13.550000190734863" customHeight="1">
      <x:c r="A8" s="11">
        <x:v>7</x:v>
      </x:c>
      <x:c r="B8" s="9" t="s">
        <x:v>60</x:v>
      </x:c>
      <x:c r="C8" s="9" t="str">
        <x:v>Owl</x:v>
      </x:c>
      <x:c r="D8" s="9" t="s">
        <x:v>54</x:v>
      </x:c>
      <x:c r="E8" s="13">
        <x:v>9</x:v>
      </x:c>
      <x:c r="F8" s="13">
        <x:v>500</x:v>
      </x:c>
      <x:c r="G8" s="9" t="str">
        <x:v>CabbagePatch</x:v>
      </x:c>
      <x:c r="H8" s="13" t="n">
        <x:f>IF(G8="","",VLOOKUP(G8,'Feeds'!$A$2:$E$26,5,FALSE))</x:f>
        <x:v>180</x:v>
      </x:c>
      <x:c r="I8" s="17" t="n">
        <x:f>IF(OR(F8="",H8=""),"",ROUND(F8/H8,1))</x:f>
        <x:v>2.8</x:v>
      </x:c>
      <x:c r="J8" s="9" t="s">
        <x:v>61</x:v>
      </x:c>
    </x:row>
    <x:row r="9" ht="13.550000190734863" customHeight="1">
      <x:c r="A9" s="11">
        <x:v>8</x:v>
      </x:c>
      <x:c r="B9" s="9" t="s">
        <x:v>61</x:v>
      </x:c>
      <x:c r="C9" s="9" t="str">
        <x:v>Bat</x:v>
      </x:c>
      <x:c r="D9" s="9" t="s">
        <x:v>54</x:v>
      </x:c>
      <x:c r="E9" s="13">
        <x:v>11</x:v>
      </x:c>
      <x:c r="F9" s="13">
        <x:v>600</x:v>
      </x:c>
      <x:c r="G9" s="9" t="str">
        <x:v>CabbagePatch</x:v>
      </x:c>
      <x:c r="H9" s="13" t="n">
        <x:f>IF(G9="","",VLOOKUP(G9,'Feeds'!$A$2:$E$26,5,FALSE))</x:f>
        <x:v>180</x:v>
      </x:c>
      <x:c r="I9" s="17" t="n">
        <x:f>IF(OR(F9="",H9=""),"",ROUND(F9/H9,1))</x:f>
        <x:v>3.3</x:v>
      </x:c>
      <x:c r="J9" s="9" t="s">
        <x:v>62</x:v>
      </x:c>
    </x:row>
    <x:row r="10" ht="13.550000190734863" customHeight="1">
      <x:c r="A10" s="11">
        <x:v>9</x:v>
      </x:c>
      <x:c r="B10" s="9" t="s">
        <x:v>62</x:v>
      </x:c>
      <x:c r="C10" s="9" t="str">
        <x:v>Cat</x:v>
      </x:c>
      <x:c r="D10" s="9" t="s">
        <x:v>54</x:v>
      </x:c>
      <x:c r="E10" s="13">
        <x:v>12</x:v>
      </x:c>
      <x:c r="F10" s="13">
        <x:v>850</x:v>
      </x:c>
      <x:c r="G10" s="9" t="str">
        <x:v>PotatoPatch</x:v>
      </x:c>
      <x:c r="H10" s="13" t="n">
        <x:f>IF(G10="","",VLOOKUP(G10,'Feeds'!$A$2:$E$26,5,FALSE))</x:f>
        <x:v>240</x:v>
      </x:c>
      <x:c r="I10" s="17" t="n">
        <x:f>IF(OR(F10="",H10=""),"",ROUND(F10/H10,1))</x:f>
        <x:v>3.5</x:v>
      </x:c>
      <x:c r="J10" s="9" t="s">
        <x:v>63</x:v>
      </x:c>
    </x:row>
    <x:row r="11" ht="13.550000190734863" customHeight="1">
      <x:c r="A11" s="11">
        <x:v>10</x:v>
      </x:c>
      <x:c r="B11" s="9" t="s">
        <x:v>63</x:v>
      </x:c>
      <x:c r="C11" s="9" t="str">
        <x:v>Goat</x:v>
      </x:c>
      <x:c r="D11" s="9" t="s">
        <x:v>54</x:v>
      </x:c>
      <x:c r="E11" s="13">
        <x:v>14</x:v>
      </x:c>
      <x:c r="F11" s="13">
        <x:v>950</x:v>
      </x:c>
      <x:c r="G11" s="9" t="str">
        <x:v>PotatoPatch</x:v>
      </x:c>
      <x:c r="H11" s="13" t="n">
        <x:f>IF(G11="","",VLOOKUP(G11,'Feeds'!$A$2:$E$26,5,FALSE))</x:f>
        <x:v>240</x:v>
      </x:c>
      <x:c r="I11" s="17" t="n">
        <x:f>IF(OR(F11="",H11=""),"",ROUND(F11/H11,1))</x:f>
        <x:v>4</x:v>
      </x:c>
      <x:c r="J11" s="9" t="s">
        <x:v>64</x:v>
      </x:c>
    </x:row>
    <x:row r="12" ht="13.550000190734863" customHeight="1">
      <x:c r="A12" s="11">
        <x:v>11</x:v>
      </x:c>
      <x:c r="B12" s="9" t="s">
        <x:v>64</x:v>
      </x:c>
      <x:c r="C12" s="9" t="str">
        <x:v>Cow</x:v>
      </x:c>
      <x:c r="D12" s="9" t="s">
        <x:v>65</x:v>
      </x:c>
      <x:c r="E12" s="13">
        <x:v>15</x:v>
      </x:c>
      <x:c r="F12" s="13">
        <x:v>1200</x:v>
      </x:c>
      <x:c r="G12" s="9" t="str">
        <x:v>PotatoPatch</x:v>
      </x:c>
      <x:c r="H12" s="13" t="n">
        <x:f>IF(G12="","",VLOOKUP(G12,'Feeds'!$A$2:$E$26,5,FALSE))</x:f>
        <x:v>240</x:v>
      </x:c>
      <x:c r="I12" s="17" t="n">
        <x:f>IF(OR(F12="",H12=""),"",ROUND(F12/H12,1))</x:f>
        <x:v>5</x:v>
      </x:c>
      <x:c r="J12" s="9" t="s">
        <x:v>66</x:v>
      </x:c>
    </x:row>
    <x:row r="13" ht="13.550000190734863" customHeight="1">
      <x:c r="A13" s="11">
        <x:v>12</x:v>
      </x:c>
      <x:c r="B13" s="9" t="s">
        <x:v>66</x:v>
      </x:c>
      <x:c r="C13" s="9" t="str">
        <x:v>Bull</x:v>
      </x:c>
      <x:c r="D13" s="9" t="s">
        <x:v>65</x:v>
      </x:c>
      <x:c r="E13" s="13">
        <x:v>17</x:v>
      </x:c>
      <x:c r="F13" s="13">
        <x:v>2000</x:v>
      </x:c>
      <x:c r="G13" s="9" t="str">
        <x:v>OrangeTree</x:v>
      </x:c>
      <x:c r="H13" s="13" t="n">
        <x:f>IF(G13="","",VLOOKUP(G13,'Feeds'!$A$2:$E$26,5,FALSE))</x:f>
        <x:v>900</x:v>
      </x:c>
      <x:c r="I13" s="17" t="n">
        <x:f>IF(OR(F13="",H13=""),"",ROUND(F13/H13,1))</x:f>
        <x:v>2.2</x:v>
      </x:c>
      <x:c r="J13" s="9" t="s">
        <x:v>67</x:v>
      </x:c>
    </x:row>
    <x:row r="14" ht="13.550000190734863" customHeight="1">
      <x:c r="A14" s="11">
        <x:v>13</x:v>
      </x:c>
      <x:c r="B14" s="9" t="s">
        <x:v>67</x:v>
      </x:c>
      <x:c r="C14" s="9" t="str">
        <x:v>Pony</x:v>
      </x:c>
      <x:c r="D14" s="9" t="s">
        <x:v>65</x:v>
      </x:c>
      <x:c r="E14" s="13">
        <x:v>19</x:v>
      </x:c>
      <x:c r="F14" s="13">
        <x:v>2500</x:v>
      </x:c>
      <x:c r="G14" s="9" t="str">
        <x:v>OrangeTree</x:v>
      </x:c>
      <x:c r="H14" s="13" t="n">
        <x:f>IF(G14="","",VLOOKUP(G14,'Feeds'!$A$2:$E$26,5,FALSE))</x:f>
        <x:v>900</x:v>
      </x:c>
      <x:c r="I14" s="17" t="n">
        <x:f>IF(OR(F14="",H14=""),"",ROUND(F14/H14,1))</x:f>
        <x:v>2.8</x:v>
      </x:c>
      <x:c r="J14" s="9" t="s">
        <x:v>68</x:v>
      </x:c>
    </x:row>
    <x:row r="15" ht="13.550000190734863" customHeight="1">
      <x:c r="A15" s="11">
        <x:v>14</x:v>
      </x:c>
      <x:c r="B15" s="9" t="s">
        <x:v>68</x:v>
      </x:c>
      <x:c r="C15" s="9" t="str">
        <x:v>Horse</x:v>
      </x:c>
      <x:c r="D15" s="9" t="s">
        <x:v>65</x:v>
      </x:c>
      <x:c r="E15" s="13">
        <x:v>21</x:v>
      </x:c>
      <x:c r="F15" s="13">
        <x:v>4500</x:v>
      </x:c>
      <x:c r="G15" s="9" t="str">
        <x:v>WatermelonPatch</x:v>
      </x:c>
      <x:c r="H15" s="13" t="n">
        <x:f>IF(G15="","",VLOOKUP(G15,'Feeds'!$A$2:$E$26,5,FALSE))</x:f>
        <x:v>420</x:v>
      </x:c>
      <x:c r="I15" s="17" t="n">
        <x:f>IF(OR(F15="",H15=""),"",ROUND(F15/H15,1))</x:f>
        <x:v>10.7</x:v>
      </x:c>
      <x:c r="J15" s="9" t="s">
        <x:v>69</x:v>
      </x:c>
    </x:row>
    <x:row r="16" ht="13.550000190734863" customHeight="1">
      <x:c r="A16" s="11">
        <x:v>15</x:v>
      </x:c>
      <x:c r="B16" s="9" t="s">
        <x:v>69</x:v>
      </x:c>
      <x:c r="C16" s="9" t="str">
        <x:v>Golden Retriever</x:v>
      </x:c>
      <x:c r="D16" s="9" t="s">
        <x:v>65</x:v>
      </x:c>
      <x:c r="E16" s="13">
        <x:v>24</x:v>
      </x:c>
      <x:c r="F16" s="13">
        <x:v>5000</x:v>
      </x:c>
      <x:c r="G16" s="9" t="str">
        <x:v>WatermelonPatch</x:v>
      </x:c>
      <x:c r="H16" s="13" t="n">
        <x:f>IF(G16="","",VLOOKUP(G16,'Feeds'!$A$2:$E$26,5,FALSE))</x:f>
        <x:v>420</x:v>
      </x:c>
      <x:c r="I16" s="17" t="n">
        <x:f>IF(OR(F16="",H16=""),"",ROUND(F16/H16,1))</x:f>
        <x:v>11.9</x:v>
      </x:c>
      <x:c r="J16" s="9" t="s">
        <x:v>70</x:v>
      </x:c>
    </x:row>
    <x:row r="17" ht="13.550000190734863" customHeight="1">
      <x:c r="A17" s="11">
        <x:v>16</x:v>
      </x:c>
      <x:c r="B17" s="9" t="s">
        <x:v>70</x:v>
      </x:c>
      <x:c r="C17" s="9" t="str">
        <x:v>Llama</x:v>
      </x:c>
      <x:c r="D17" s="9" t="s">
        <x:v>65</x:v>
      </x:c>
      <x:c r="E17" s="13">
        <x:v>27</x:v>
      </x:c>
      <x:c r="F17" s="13">
        <x:v>6000</x:v>
      </x:c>
      <x:c r="G17" s="9" t="str">
        <x:v>WatermelonPatch</x:v>
      </x:c>
      <x:c r="H17" s="13" t="n">
        <x:f>IF(G17="","",VLOOKUP(G17,'Feeds'!$A$2:$E$26,5,FALSE))</x:f>
        <x:v>420</x:v>
      </x:c>
      <x:c r="I17" s="17" t="n">
        <x:f>IF(OR(F17="",H17=""),"",ROUND(F17/H17,1))</x:f>
        <x:v>14.3</x:v>
      </x:c>
      <x:c r="J17" s="9" t="s">
        <x:v>71</x:v>
      </x:c>
    </x:row>
    <x:row r="18" ht="13.550000190734863" customHeight="1">
      <x:c r="A18" s="11">
        <x:v>17</x:v>
      </x:c>
      <x:c r="B18" s="9" t="s">
        <x:v>71</x:v>
      </x:c>
      <x:c r="C18" s="9" t="str">
        <x:v>Capybara</x:v>
      </x:c>
      <x:c r="D18" s="9" t="s">
        <x:v>65</x:v>
      </x:c>
      <x:c r="E18" s="13">
        <x:v>30</x:v>
      </x:c>
      <x:c r="F18" s="13">
        <x:v>11000</x:v>
      </x:c>
      <x:c r="G18" s="9" t="str">
        <x:v>PlumTree</x:v>
      </x:c>
      <x:c r="H18" s="13" t="n">
        <x:f>IF(G18="","",VLOOKUP(G18,'Feeds'!$A$2:$E$26,5,FALSE))</x:f>
        <x:v>1800</x:v>
      </x:c>
      <x:c r="I18" s="17" t="n">
        <x:f>IF(OR(F18="",H18=""),"",ROUND(F18/H18,1))</x:f>
        <x:v>6.1</x:v>
      </x:c>
      <x:c r="J18" s="9" t="s">
        <x:v>72</x:v>
      </x:c>
    </x:row>
    <x:row r="19" ht="13.550000190734863" customHeight="1">
      <x:c r="A19" s="11">
        <x:v>18</x:v>
      </x:c>
      <x:c r="B19" s="9" t="s">
        <x:v>72</x:v>
      </x:c>
      <x:c r="C19" s="9" t="str">
        <x:v>Koala</x:v>
      </x:c>
      <x:c r="D19" s="9" t="s">
        <x:v>65</x:v>
      </x:c>
      <x:c r="E19" s="13">
        <x:v>33</x:v>
      </x:c>
      <x:c r="F19" s="13">
        <x:v>12000</x:v>
      </x:c>
      <x:c r="G19" s="9" t="str">
        <x:v>PlumTree</x:v>
      </x:c>
      <x:c r="H19" s="13" t="n">
        <x:f>IF(G19="","",VLOOKUP(G19,'Feeds'!$A$2:$E$26,5,FALSE))</x:f>
        <x:v>1800</x:v>
      </x:c>
      <x:c r="I19" s="17" t="n">
        <x:f>IF(OR(F19="",H19=""),"",ROUND(F19/H19,1))</x:f>
        <x:v>6.7</x:v>
      </x:c>
      <x:c r="J19" s="9" t="s">
        <x:v>73</x:v>
      </x:c>
    </x:row>
    <x:row r="20" ht="13.550000190734863" customHeight="1">
      <x:c r="A20" s="11">
        <x:v>19</x:v>
      </x:c>
      <x:c r="B20" s="9" t="s">
        <x:v>73</x:v>
      </x:c>
      <x:c r="C20" s="9" t="str">
        <x:v>Turtle</x:v>
      </x:c>
      <x:c r="D20" s="9" t="s">
        <x:v>65</x:v>
      </x:c>
      <x:c r="E20" s="13">
        <x:v>36</x:v>
      </x:c>
      <x:c r="F20" s="13">
        <x:v>14000</x:v>
      </x:c>
      <x:c r="G20" s="9" t="str">
        <x:v>PlumTree</x:v>
      </x:c>
      <x:c r="H20" s="13" t="n">
        <x:f>IF(G20="","",VLOOKUP(G20,'Feeds'!$A$2:$E$26,5,FALSE))</x:f>
        <x:v>1800</x:v>
      </x:c>
      <x:c r="I20" s="17" t="n">
        <x:f>IF(OR(F20="",H20=""),"",ROUND(F20/H20,1))</x:f>
        <x:v>7.8</x:v>
      </x:c>
      <x:c r="J20" s="9" t="s">
        <x:v>74</x:v>
      </x:c>
    </x:row>
    <x:row r="21" ht="15.75" customHeight="1">
      <x:c r="A21" s="11">
        <x:v>20</x:v>
      </x:c>
      <x:c r="B21" s="9" t="s">
        <x:v>74</x:v>
      </x:c>
      <x:c r="C21" s="9" t="str">
        <x:v>Lizard</x:v>
      </x:c>
      <x:c r="D21" s="9" t="s">
        <x:v>65</x:v>
      </x:c>
      <x:c r="E21" s="13">
        <x:v>40</x:v>
      </x:c>
      <x:c r="F21" s="13">
        <x:v>25000</x:v>
      </x:c>
      <x:c r="G21" s="9" t="str">
        <x:v>CornPatch</x:v>
      </x:c>
      <x:c r="H21" s="13" t="n">
        <x:f>IF(G21="","",VLOOKUP(G21,'Feeds'!$A$2:$E$26,5,FALSE))</x:f>
        <x:v>1200</x:v>
      </x:c>
      <x:c r="I21" s="17" t="n">
        <x:f>IF(OR(F21="",H21=""),"",ROUND(F21/H21,1))</x:f>
        <x:v>20.8</x:v>
      </x:c>
      <x:c r="J21" s="9" t="s">
        <x:v>75</x:v>
      </x:c>
    </x:row>
    <x:row r="22" ht="15.75" customHeight="1">
      <x:c r="A22" s="11">
        <x:v>21</x:v>
      </x:c>
      <x:c r="B22" s="9" t="s">
        <x:v>75</x:v>
      </x:c>
      <x:c r="C22" s="9" t="str">
        <x:v>Snail</x:v>
      </x:c>
      <x:c r="D22" s="9" t="s">
        <x:v>76</x:v>
      </x:c>
      <x:c r="E22" s="13">
        <x:v>50</x:v>
      </x:c>
      <x:c r="F22" s="13">
        <x:v>30000</x:v>
      </x:c>
      <x:c r="G22" s="9" t="str">
        <x:v>CornPatch</x:v>
      </x:c>
      <x:c r="H22" s="13" t="n">
        <x:f>IF(G22="","",VLOOKUP(G22,'Feeds'!$A$2:$E$26,5,FALSE))</x:f>
        <x:v>1200</x:v>
      </x:c>
      <x:c r="I22" s="17" t="n">
        <x:f>IF(OR(F22="",H22=""),"",ROUND(F22/H22,1))</x:f>
        <x:v>25</x:v>
      </x:c>
      <x:c r="J22" s="9" t="s">
        <x:v>77</x:v>
      </x:c>
    </x:row>
    <x:row r="23" ht="15.75" customHeight="1">
      <x:c r="A23" s="11">
        <x:v>22</x:v>
      </x:c>
      <x:c r="B23" s="9" t="s">
        <x:v>77</x:v>
      </x:c>
      <x:c r="C23" s="9" t="str">
        <x:v>Crab</x:v>
      </x:c>
      <x:c r="D23" s="9" t="s">
        <x:v>76</x:v>
      </x:c>
      <x:c r="E23" s="13">
        <x:v>56</x:v>
      </x:c>
      <x:c r="F23" s="13">
        <x:v>55000</x:v>
      </x:c>
      <x:c r="G23" s="9" t="str">
        <x:v>CherryTree</x:v>
      </x:c>
      <x:c r="H23" s="13" t="n">
        <x:f>IF(G23="","",VLOOKUP(G23,'Feeds'!$A$2:$E$26,5,FALSE))</x:f>
        <x:v>4500</x:v>
      </x:c>
      <x:c r="I23" s="17" t="n">
        <x:f>IF(OR(F23="",H23=""),"",ROUND(F23/H23,1))</x:f>
        <x:v>12.2</x:v>
      </x:c>
      <x:c r="J23" s="9" t="s">
        <x:v>78</x:v>
      </x:c>
    </x:row>
    <x:row r="24" ht="15.75" customHeight="1">
      <x:c r="A24" s="11">
        <x:v>23</x:v>
      </x:c>
      <x:c r="B24" s="9" t="s">
        <x:v>78</x:v>
      </x:c>
      <x:c r="C24" s="9" t="str">
        <x:v>Goldfish</x:v>
      </x:c>
      <x:c r="D24" s="9" t="s">
        <x:v>76</x:v>
      </x:c>
      <x:c r="E24" s="13">
        <x:v>63</x:v>
      </x:c>
      <x:c r="F24" s="13">
        <x:v>65000</x:v>
      </x:c>
      <x:c r="G24" s="9" t="str">
        <x:v>CherryTree</x:v>
      </x:c>
      <x:c r="H24" s="13" t="n">
        <x:f>IF(G24="","",VLOOKUP(G24,'Feeds'!$A$2:$E$26,5,FALSE))</x:f>
        <x:v>4500</x:v>
      </x:c>
      <x:c r="I24" s="17" t="n">
        <x:f>IF(OR(F24="",H24=""),"",ROUND(F24/H24,1))</x:f>
        <x:v>14.4</x:v>
      </x:c>
      <x:c r="J24" s="9" t="s">
        <x:v>79</x:v>
      </x:c>
    </x:row>
    <x:row r="25" ht="15.75" customHeight="1">
      <x:c r="A25" s="11">
        <x:v>24</x:v>
      </x:c>
      <x:c r="B25" s="9" t="s">
        <x:v>79</x:v>
      </x:c>
      <x:c r="C25" s="9" t="str">
        <x:v>Seal</x:v>
      </x:c>
      <x:c r="D25" s="9" t="s">
        <x:v>76</x:v>
      </x:c>
      <x:c r="E25" s="13">
        <x:v>71</x:v>
      </x:c>
      <x:c r="F25" s="13">
        <x:v>75000</x:v>
      </x:c>
      <x:c r="G25" s="9" t="str">
        <x:v>CherryTree</x:v>
      </x:c>
      <x:c r="H25" s="13" t="n">
        <x:f>IF(G25="","",VLOOKUP(G25,'Feeds'!$A$2:$E$26,5,FALSE))</x:f>
        <x:v>4500</x:v>
      </x:c>
      <x:c r="I25" s="17" t="n">
        <x:f>IF(OR(F25="",H25=""),"",ROUND(F25/H25,1))</x:f>
        <x:v>16.7</x:v>
      </x:c>
      <x:c r="J25" s="9" t="s">
        <x:v>80</x:v>
      </x:c>
    </x:row>
    <x:row r="26" ht="15.75" customHeight="1">
      <x:c r="A26" s="11">
        <x:v>25</x:v>
      </x:c>
      <x:c r="B26" s="9" t="s">
        <x:v>80</x:v>
      </x:c>
      <x:c r="C26" s="9" t="str">
        <x:v>Swordfish</x:v>
      </x:c>
      <x:c r="D26" s="9" t="s">
        <x:v>76</x:v>
      </x:c>
      <x:c r="E26" s="13">
        <x:v>80</x:v>
      </x:c>
      <x:c r="F26" s="13">
        <x:v>140000</x:v>
      </x:c>
      <x:c r="G26" s="9" t="str">
        <x:v>MushroomPatch</x:v>
      </x:c>
      <x:c r="H26" s="13" t="n">
        <x:f>IF(G26="","",VLOOKUP(G26,'Feeds'!$A$2:$E$26,5,FALSE))</x:f>
        <x:v>3000</x:v>
      </x:c>
      <x:c r="I26" s="17" t="n">
        <x:f>IF(OR(F26="",H26=""),"",ROUND(F26/H26,1))</x:f>
        <x:v>46.7</x:v>
      </x:c>
      <x:c r="J26" s="9" t="s">
        <x:v>81</x:v>
      </x:c>
    </x:row>
    <x:row r="27" ht="15.75" customHeight="1">
      <x:c r="A27" s="11">
        <x:v>26</x:v>
      </x:c>
      <x:c r="B27" s="9" t="s">
        <x:v>81</x:v>
      </x:c>
      <x:c r="C27" s="9" t="str">
        <x:v>Whale</x:v>
      </x:c>
      <x:c r="D27" s="9" t="s">
        <x:v>76</x:v>
      </x:c>
      <x:c r="E27" s="13">
        <x:v>90</x:v>
      </x:c>
      <x:c r="F27" s="13">
        <x:v>160000</x:v>
      </x:c>
      <x:c r="G27" s="9" t="str">
        <x:v>MushroomPatch</x:v>
      </x:c>
      <x:c r="H27" s="13" t="n">
        <x:f>IF(G27="","",VLOOKUP(G27,'Feeds'!$A$2:$E$26,5,FALSE))</x:f>
        <x:v>3000</x:v>
      </x:c>
      <x:c r="I27" s="17" t="n">
        <x:f>IF(OR(F27="",H27=""),"",ROUND(F27/H27,1))</x:f>
        <x:v>53.3</x:v>
      </x:c>
      <x:c r="J27" s="9" t="s">
        <x:v>82</x:v>
      </x:c>
    </x:row>
    <x:row r="28" ht="15.75" customHeight="1">
      <x:c r="A28" s="11">
        <x:v>27</x:v>
      </x:c>
      <x:c r="B28" s="9" t="s">
        <x:v>82</x:v>
      </x:c>
      <x:c r="C28" s="9" t="str">
        <x:v>Shark</x:v>
      </x:c>
      <x:c r="D28" s="9" t="s">
        <x:v>76</x:v>
      </x:c>
      <x:c r="E28" s="13">
        <x:v>101</x:v>
      </x:c>
      <x:c r="F28" s="13">
        <x:v>300000</x:v>
      </x:c>
      <x:c r="G28" s="9" t="str">
        <x:v>BananaTree</x:v>
      </x:c>
      <x:c r="H28" s="13" t="n">
        <x:f>IF(G28="","",VLOOKUP(G28,'Feeds'!$A$2:$E$26,5,FALSE))</x:f>
        <x:v>12000</x:v>
      </x:c>
      <x:c r="I28" s="17" t="n">
        <x:f>IF(OR(F28="",H28=""),"",ROUND(F28/H28,1))</x:f>
        <x:v>25</x:v>
      </x:c>
      <x:c r="J28" s="9" t="s">
        <x:v>83</x:v>
      </x:c>
    </x:row>
    <x:row r="29" ht="15.75" customHeight="1">
      <x:c r="A29" s="11">
        <x:v>28</x:v>
      </x:c>
      <x:c r="B29" s="9" t="s">
        <x:v>83</x:v>
      </x:c>
      <x:c r="C29" s="9" t="str">
        <x:v>Ostrich</x:v>
      </x:c>
      <x:c r="D29" s="9" t="s">
        <x:v>76</x:v>
      </x:c>
      <x:c r="E29" s="13">
        <x:v>113</x:v>
      </x:c>
      <x:c r="F29" s="13">
        <x:v>350000</x:v>
      </x:c>
      <x:c r="G29" s="9" t="str">
        <x:v>BananaTree</x:v>
      </x:c>
      <x:c r="H29" s="13" t="n">
        <x:f>IF(G29="","",VLOOKUP(G29,'Feeds'!$A$2:$E$26,5,FALSE))</x:f>
        <x:v>12000</x:v>
      </x:c>
      <x:c r="I29" s="17" t="n">
        <x:f>IF(OR(F29="",H29=""),"",ROUND(F29/H29,1))</x:f>
        <x:v>29.2</x:v>
      </x:c>
      <x:c r="J29" s="9" t="s">
        <x:v>84</x:v>
      </x:c>
    </x:row>
    <x:row r="30" ht="15.75" customHeight="1">
      <x:c r="A30" s="11">
        <x:v>29</x:v>
      </x:c>
      <x:c r="B30" s="9" t="s">
        <x:v>84</x:v>
      </x:c>
      <x:c r="C30" s="9" t="str">
        <x:v>Kangaroo</x:v>
      </x:c>
      <x:c r="D30" s="9" t="s">
        <x:v>76</x:v>
      </x:c>
      <x:c r="E30" s="13">
        <x:v>126</x:v>
      </x:c>
      <x:c r="F30" s="13">
        <x:v>400000</x:v>
      </x:c>
      <x:c r="G30" s="9" t="str">
        <x:v>BananaTree</x:v>
      </x:c>
      <x:c r="H30" s="13" t="n">
        <x:f>IF(G30="","",VLOOKUP(G30,'Feeds'!$A$2:$E$26,5,FALSE))</x:f>
        <x:v>12000</x:v>
      </x:c>
      <x:c r="I30" s="17" t="n">
        <x:f>IF(OR(F30="",H30=""),"",ROUND(F30/H30,1))</x:f>
        <x:v>33.3</x:v>
      </x:c>
      <x:c r="J30" s="9" t="s">
        <x:v>85</x:v>
      </x:c>
    </x:row>
    <x:row r="31" ht="15.75" customHeight="1">
      <x:c r="A31" s="11">
        <x:v>30</x:v>
      </x:c>
      <x:c r="B31" s="9" t="s">
        <x:v>85</x:v>
      </x:c>
      <x:c r="C31" s="9" t="str">
        <x:v>Zebra</x:v>
      </x:c>
      <x:c r="D31" s="9" t="s">
        <x:v>76</x:v>
      </x:c>
      <x:c r="E31" s="13">
        <x:v>140</x:v>
      </x:c>
      <x:c r="F31" s="13">
        <x:v>750000</x:v>
      </x:c>
      <x:c r="G31" s="9" t="str">
        <x:v>Cactus</x:v>
      </x:c>
      <x:c r="H31" s="13" t="n">
        <x:f>IF(G31="","",VLOOKUP(G31,'Feeds'!$A$2:$E$26,5,FALSE))</x:f>
        <x:v>10500</x:v>
      </x:c>
      <x:c r="I31" s="17" t="n">
        <x:f>IF(OR(F31="",H31=""),"",ROUND(F31/H31,1))</x:f>
        <x:v>71.4</x:v>
      </x:c>
      <x:c r="J31" s="9" t="s">
        <x:v>86</x:v>
      </x:c>
    </x:row>
    <x:row r="32" ht="15.75" customHeight="1">
      <x:c r="A32" s="11">
        <x:v>31</x:v>
      </x:c>
      <x:c r="B32" s="9" t="s">
        <x:v>86</x:v>
      </x:c>
      <x:c r="C32" s="9" t="str">
        <x:v>Giraffe</x:v>
      </x:c>
      <x:c r="D32" s="9" t="s">
        <x:v>76</x:v>
      </x:c>
      <x:c r="E32" s="13">
        <x:v>155</x:v>
      </x:c>
      <x:c r="F32" s="13">
        <x:v>850000</x:v>
      </x:c>
      <x:c r="G32" s="9" t="str">
        <x:v>Cactus</x:v>
      </x:c>
      <x:c r="H32" s="13" t="n">
        <x:f>IF(G32="","",VLOOKUP(G32,'Feeds'!$A$2:$E$26,5,FALSE))</x:f>
        <x:v>10500</x:v>
      </x:c>
      <x:c r="I32" s="17" t="n">
        <x:f>IF(OR(F32="",H32=""),"",ROUND(F32/H32,1))</x:f>
        <x:v>81</x:v>
      </x:c>
      <x:c r="J32" s="9" t="s">
        <x:v>87</x:v>
      </x:c>
    </x:row>
    <x:row r="33" ht="15.75" customHeight="1">
      <x:c r="A33" s="11">
        <x:v>32</x:v>
      </x:c>
      <x:c r="B33" s="9" t="s">
        <x:v>87</x:v>
      </x:c>
      <x:c r="C33" s="9" t="str">
        <x:v>Elephant</x:v>
      </x:c>
      <x:c r="D33" s="9" t="s">
        <x:v>76</x:v>
      </x:c>
      <x:c r="E33" s="13">
        <x:v>171</x:v>
      </x:c>
      <x:c r="F33" s="13">
        <x:v>1000000</x:v>
      </x:c>
      <x:c r="G33" s="9" t="str">
        <x:v>Cactus</x:v>
      </x:c>
      <x:c r="H33" s="13" t="n">
        <x:f>IF(G33="","",VLOOKUP(G33,'Feeds'!$A$2:$E$26,5,FALSE))</x:f>
        <x:v>10500</x:v>
      </x:c>
      <x:c r="I33" s="17" t="n">
        <x:f>IF(OR(F33="",H33=""),"",ROUND(F33/H33,1))</x:f>
        <x:v>95.2</x:v>
      </x:c>
      <x:c r="J33" s="9" t="s">
        <x:v>88</x:v>
      </x:c>
    </x:row>
    <x:row r="34" ht="15.75" customHeight="1">
      <x:c r="A34" s="11">
        <x:v>33</x:v>
      </x:c>
      <x:c r="B34" s="9" t="s">
        <x:v>88</x:v>
      </x:c>
      <x:c r="C34" s="9" t="str">
        <x:v>Bear</x:v>
      </x:c>
      <x:c r="D34" s="9" t="s">
        <x:v>76</x:v>
      </x:c>
      <x:c r="E34" s="13">
        <x:v>188</x:v>
      </x:c>
      <x:c r="F34" s="13">
        <x:v>1800000</x:v>
      </x:c>
      <x:c r="G34" s="9" t="str">
        <x:v>PineapplePatch</x:v>
      </x:c>
      <x:c r="H34" s="13" t="n">
        <x:f>IF(G34="","",VLOOKUP(G34,'Feeds'!$A$2:$E$26,5,FALSE))</x:f>
        <x:v>13500</x:v>
      </x:c>
      <x:c r="I34" s="17" t="n">
        <x:f>IF(OR(F34="",H34=""),"",ROUND(F34/H34,1))</x:f>
        <x:v>133.3</x:v>
      </x:c>
      <x:c r="J34" s="9" t="s">
        <x:v>89</x:v>
      </x:c>
    </x:row>
    <x:row r="35" ht="15.75" customHeight="1">
      <x:c r="A35" s="11">
        <x:v>34</x:v>
      </x:c>
      <x:c r="B35" s="9" t="s">
        <x:v>89</x:v>
      </x:c>
      <x:c r="C35" s="9" t="str">
        <x:v>Polar Bear</x:v>
      </x:c>
      <x:c r="D35" s="9" t="s">
        <x:v>76</x:v>
      </x:c>
      <x:c r="E35" s="13">
        <x:v>207</x:v>
      </x:c>
      <x:c r="F35" s="13">
        <x:v>2000000</x:v>
      </x:c>
      <x:c r="G35" s="9" t="str">
        <x:v>PineapplePatch</x:v>
      </x:c>
      <x:c r="H35" s="13" t="n">
        <x:f>IF(G35="","",VLOOKUP(G35,'Feeds'!$A$2:$E$26,5,FALSE))</x:f>
        <x:v>13500</x:v>
      </x:c>
      <x:c r="I35" s="17" t="n">
        <x:f>IF(OR(F35="",H35=""),"",ROUND(F35/H35,1))</x:f>
        <x:v>148.1</x:v>
      </x:c>
      <x:c r="J35" s="9" t="s">
        <x:v>90</x:v>
      </x:c>
    </x:row>
    <x:row r="36" ht="15.75" customHeight="1">
      <x:c r="A36" s="11">
        <x:v>35</x:v>
      </x:c>
      <x:c r="B36" s="9" t="s">
        <x:v>90</x:v>
      </x:c>
      <x:c r="C36" s="9" t="str">
        <x:v>Gorilla</x:v>
      </x:c>
      <x:c r="D36" s="9" t="s">
        <x:v>76</x:v>
      </x:c>
      <x:c r="E36" s="13">
        <x:v>228</x:v>
      </x:c>
      <x:c r="F36" s="13">
        <x:v>4000000</x:v>
      </x:c>
      <x:c r="G36" s="9" t="str">
        <x:v>FigTree</x:v>
      </x:c>
      <x:c r="H36" s="13" t="n">
        <x:f>IF(G36="","",VLOOKUP(G36,'Feeds'!$A$2:$E$26,5,FALSE))</x:f>
        <x:v>54000</x:v>
      </x:c>
      <x:c r="I36" s="17" t="n">
        <x:f>IF(OR(F36="",H36=""),"",ROUND(F36/H36,1))</x:f>
        <x:v>74.1</x:v>
      </x:c>
      <x:c r="J36" s="9" t="s">
        <x:v>91</x:v>
      </x:c>
    </x:row>
    <x:row r="37" ht="15.75" customHeight="1">
      <x:c r="A37" s="11">
        <x:v>36</x:v>
      </x:c>
      <x:c r="B37" s="9" t="s">
        <x:v>91</x:v>
      </x:c>
      <x:c r="C37" s="9" t="str">
        <x:v>Wolf</x:v>
      </x:c>
      <x:c r="D37" s="9" t="s">
        <x:v>76</x:v>
      </x:c>
      <x:c r="E37" s="13">
        <x:v>250</x:v>
      </x:c>
      <x:c r="F37" s="13">
        <x:v>4500000</x:v>
      </x:c>
      <x:c r="G37" s="9" t="str">
        <x:v>FigTree</x:v>
      </x:c>
      <x:c r="H37" s="13" t="n">
        <x:f>IF(G37="","",VLOOKUP(G37,'Feeds'!$A$2:$E$26,5,FALSE))</x:f>
        <x:v>54000</x:v>
      </x:c>
      <x:c r="I37" s="17" t="n">
        <x:f>IF(OR(F37="",H37=""),"",ROUND(F37/H37,1))</x:f>
        <x:v>83.3</x:v>
      </x:c>
      <x:c r="J37" s="9" t="s">
        <x:v>92</x:v>
      </x:c>
    </x:row>
    <x:row r="38" ht="15.75" customHeight="1">
      <x:c r="A38" s="11">
        <x:v>37</x:v>
      </x:c>
      <x:c r="B38" s="9" t="s">
        <x:v>92</x:v>
      </x:c>
      <x:c r="C38" s="9" t="str">
        <x:v>Lion</x:v>
      </x:c>
      <x:c r="D38" s="9" t="s">
        <x:v>93</x:v>
      </x:c>
      <x:c r="E38" s="13">
        <x:v>300</x:v>
      </x:c>
      <x:c r="F38" s="13">
        <x:v>5000000</x:v>
      </x:c>
      <x:c r="G38" s="9" t="str">
        <x:v>FigTree</x:v>
      </x:c>
      <x:c r="H38" s="13" t="n">
        <x:f>IF(G38="","",VLOOKUP(G38,'Feeds'!$A$2:$E$26,5,FALSE))</x:f>
        <x:v>54000</x:v>
      </x:c>
      <x:c r="I38" s="17" t="n">
        <x:f>IF(OR(F38="",H38=""),"",ROUND(F38/H38,1))</x:f>
        <x:v>92.6</x:v>
      </x:c>
      <x:c r="J38" s="9" t="s">
        <x:v>94</x:v>
      </x:c>
    </x:row>
    <x:row r="39" ht="15.75" customHeight="1">
      <x:c r="A39" s="11">
        <x:v>38</x:v>
      </x:c>
      <x:c r="B39" s="9" t="s">
        <x:v>94</x:v>
      </x:c>
      <x:c r="C39" s="9" t="str">
        <x:v>Tiger</x:v>
      </x:c>
      <x:c r="D39" s="9" t="s">
        <x:v>93</x:v>
      </x:c>
      <x:c r="E39" s="13">
        <x:v>330</x:v>
      </x:c>
      <x:c r="F39" s="13">
        <x:v>10000000</x:v>
      </x:c>
      <x:c r="G39" s="9" t="str">
        <x:v>PurpleShroomPatch</x:v>
      </x:c>
      <x:c r="H39" s="13" t="n">
        <x:f>IF(G39="","",VLOOKUP(G39,'Feeds'!$A$2:$E$26,5,FALSE))</x:f>
        <x:v>39000</x:v>
      </x:c>
      <x:c r="I39" s="17" t="n">
        <x:f>IF(OR(F39="",H39=""),"",ROUND(F39/H39,1))</x:f>
        <x:v>256.4</x:v>
      </x:c>
      <x:c r="J39" s="9" t="s">
        <x:v>95</x:v>
      </x:c>
    </x:row>
    <x:row r="40" ht="15.75" customHeight="1">
      <x:c r="A40" s="11">
        <x:v>39</x:v>
      </x:c>
      <x:c r="B40" s="9" t="s">
        <x:v>95</x:v>
      </x:c>
      <x:c r="C40" s="9" t="str">
        <x:v>Crocodile</x:v>
      </x:c>
      <x:c r="D40" s="9" t="s">
        <x:v>93</x:v>
      </x:c>
      <x:c r="E40" s="13">
        <x:v>360</x:v>
      </x:c>
      <x:c r="F40" s="13">
        <x:v>12000000</x:v>
      </x:c>
      <x:c r="G40" s="9" t="str">
        <x:v>PurpleShroomPatch</x:v>
      </x:c>
      <x:c r="H40" s="13" t="n">
        <x:f>IF(G40="","",VLOOKUP(G40,'Feeds'!$A$2:$E$26,5,FALSE))</x:f>
        <x:v>39000</x:v>
      </x:c>
      <x:c r="I40" s="17" t="n">
        <x:f>IF(OR(F40="",H40=""),"",ROUND(F40/H40,1))</x:f>
        <x:v>307.7</x:v>
      </x:c>
      <x:c r="J40" s="9" t="s">
        <x:v>96</x:v>
      </x:c>
    </x:row>
    <x:row r="41" ht="15.75" customHeight="1">
      <x:c r="A41" s="11">
        <x:v>40</x:v>
      </x:c>
      <x:c r="B41" s="9" t="s">
        <x:v>96</x:v>
      </x:c>
      <x:c r="C41" s="9" t="str">
        <x:v>Snake</x:v>
      </x:c>
      <x:c r="D41" s="9" t="s">
        <x:v>93</x:v>
      </x:c>
      <x:c r="E41" s="13">
        <x:v>395</x:v>
      </x:c>
      <x:c r="F41" s="13">
        <x:v>23000000</x:v>
      </x:c>
      <x:c r="G41" s="9" t="str">
        <x:v>BloodOrangeTree</x:v>
      </x:c>
      <x:c r="H41" s="13" t="n">
        <x:f>IF(G41="","",VLOOKUP(G41,'Feeds'!$A$2:$E$26,5,FALSE))</x:f>
        <x:v>165000</x:v>
      </x:c>
      <x:c r="I41" s="17" t="n">
        <x:f>IF(OR(F41="",H41=""),"",ROUND(F41/H41,1))</x:f>
        <x:v>139.4</x:v>
      </x:c>
      <x:c r="J41" s="9" t="s">
        <x:v>97</x:v>
      </x:c>
    </x:row>
    <x:row r="42" ht="15.75" customHeight="1">
      <x:c r="A42" s="11">
        <x:v>41</x:v>
      </x:c>
      <x:c r="B42" s="9" t="s">
        <x:v>97</x:v>
      </x:c>
      <x:c r="C42" s="9" t="str">
        <x:v>Cobra</x:v>
      </x:c>
      <x:c r="D42" s="9" t="s">
        <x:v>93</x:v>
      </x:c>
      <x:c r="E42" s="13">
        <x:v>430</x:v>
      </x:c>
      <x:c r="F42" s="13">
        <x:v>26000000</x:v>
      </x:c>
      <x:c r="G42" s="9" t="str">
        <x:v>BloodOrangeTree</x:v>
      </x:c>
      <x:c r="H42" s="13" t="n">
        <x:f>IF(G42="","",VLOOKUP(G42,'Feeds'!$A$2:$E$26,5,FALSE))</x:f>
        <x:v>165000</x:v>
      </x:c>
      <x:c r="I42" s="17" t="n">
        <x:f>IF(OR(F42="",H42=""),"",ROUND(F42/H42,1))</x:f>
        <x:v>157.6</x:v>
      </x:c>
      <x:c r="J42" s="9" t="s">
        <x:v>98</x:v>
      </x:c>
    </x:row>
    <x:row r="43" ht="15.75" customHeight="1">
      <x:c r="A43" s="11">
        <x:v>42</x:v>
      </x:c>
      <x:c r="B43" s="9" t="s">
        <x:v>98</x:v>
      </x:c>
      <x:c r="C43" s="9" t="str">
        <x:v>Hydra</x:v>
      </x:c>
      <x:c r="D43" s="9" t="s">
        <x:v>93</x:v>
      </x:c>
      <x:c r="E43" s="13">
        <x:v>470</x:v>
      </x:c>
      <x:c r="F43" s="13">
        <x:v>30000000</x:v>
      </x:c>
      <x:c r="G43" s="9" t="str">
        <x:v>BloodOrangeTree</x:v>
      </x:c>
      <x:c r="H43" s="13" t="n">
        <x:f>IF(G43="","",VLOOKUP(G43,'Feeds'!$A$2:$E$26,5,FALSE))</x:f>
        <x:v>165000</x:v>
      </x:c>
      <x:c r="I43" s="17" t="n">
        <x:f>IF(OR(F43="",H43=""),"",ROUND(F43/H43,1))</x:f>
        <x:v>181.8</x:v>
      </x:c>
      <x:c r="J43" s="9" t="s">
        <x:v>99</x:v>
      </x:c>
    </x:row>
    <x:row r="44" ht="15.75" customHeight="1">
      <x:c r="A44" s="11">
        <x:v>43</x:v>
      </x:c>
      <x:c r="B44" s="9" t="s">
        <x:v>99</x:v>
      </x:c>
      <x:c r="C44" s="9" t="str">
        <x:v>Ankylosaurus</x:v>
      </x:c>
      <x:c r="D44" s="9" t="s">
        <x:v>93</x:v>
      </x:c>
      <x:c r="E44" s="13">
        <x:v>510</x:v>
      </x:c>
      <x:c r="F44" s="13">
        <x:v>60000000</x:v>
      </x:c>
      <x:c r="G44" s="9" t="str">
        <x:v>GlowshroomPatch</x:v>
      </x:c>
      <x:c r="H44" s="13" t="n">
        <x:f>IF(G44="","",VLOOKUP(G44,'Feeds'!$A$2:$E$26,5,FALSE))</x:f>
        <x:v>120000</x:v>
      </x:c>
      <x:c r="I44" s="17" t="n">
        <x:f>IF(OR(F44="",H44=""),"",ROUND(F44/H44,1))</x:f>
        <x:v>500</x:v>
      </x:c>
      <x:c r="J44" s="9" t="s">
        <x:v>100</x:v>
      </x:c>
    </x:row>
    <x:row r="45" ht="15.75" customHeight="1">
      <x:c r="A45" s="11">
        <x:v>44</x:v>
      </x:c>
      <x:c r="B45" s="9" t="s">
        <x:v>100</x:v>
      </x:c>
      <x:c r="C45" s="9" t="str">
        <x:v>Triceratops</x:v>
      </x:c>
      <x:c r="D45" s="9" t="s">
        <x:v>93</x:v>
      </x:c>
      <x:c r="E45" s="13">
        <x:v>550</x:v>
      </x:c>
      <x:c r="F45" s="13">
        <x:v>70000000</x:v>
      </x:c>
      <x:c r="G45" s="9" t="str">
        <x:v>GlowshroomPatch</x:v>
      </x:c>
      <x:c r="H45" s="13" t="n">
        <x:f>IF(G45="","",VLOOKUP(G45,'Feeds'!$A$2:$E$26,5,FALSE))</x:f>
        <x:v>120000</x:v>
      </x:c>
      <x:c r="I45" s="17" t="n">
        <x:f>IF(OR(F45="",H45=""),"",ROUND(F45/H45,1))</x:f>
        <x:v>583.3</x:v>
      </x:c>
      <x:c r="J45" s="9" t="s">
        <x:v>101</x:v>
      </x:c>
    </x:row>
    <x:row r="46" ht="15.75" customHeight="1">
      <x:c r="A46" s="11">
        <x:v>45</x:v>
      </x:c>
      <x:c r="B46" s="9" t="s">
        <x:v>101</x:v>
      </x:c>
      <x:c r="C46" s="9" t="str">
        <x:v>Gallimimus</x:v>
      </x:c>
      <x:c r="D46" s="9" t="s">
        <x:v>93</x:v>
      </x:c>
      <x:c r="E46" s="13">
        <x:v>595</x:v>
      </x:c>
      <x:c r="F46" s="13">
        <x:v>80000000</x:v>
      </x:c>
      <x:c r="G46" s="9" t="str">
        <x:v>GlowshroomPatch</x:v>
      </x:c>
      <x:c r="H46" s="13" t="n">
        <x:f>IF(G46="","",VLOOKUP(G46,'Feeds'!$A$2:$E$26,5,FALSE))</x:f>
        <x:v>120000</x:v>
      </x:c>
      <x:c r="I46" s="17" t="n">
        <x:f>IF(OR(F46="",H46=""),"",ROUND(F46/H46,1))</x:f>
        <x:v>666.7</x:v>
      </x:c>
      <x:c r="J46" s="9" t="s">
        <x:v>102</x:v>
      </x:c>
    </x:row>
    <x:row r="47" ht="15.75" customHeight="1">
      <x:c r="A47" s="11">
        <x:v>46</x:v>
      </x:c>
      <x:c r="B47" s="9" t="s">
        <x:v>102</x:v>
      </x:c>
      <x:c r="C47" s="9" t="str">
        <x:v>Velociraptor</x:v>
      </x:c>
      <x:c r="D47" s="9" t="s">
        <x:v>93</x:v>
      </x:c>
      <x:c r="E47" s="13">
        <x:v>640</x:v>
      </x:c>
      <x:c r="F47" s="13">
        <x:v>150000000</x:v>
      </x:c>
      <x:c r="G47" s="9" t="str">
        <x:v>DragonfruitTree</x:v>
      </x:c>
      <x:c r="H47" s="13" t="n">
        <x:f>IF(G47="","",VLOOKUP(G47,'Feeds'!$A$2:$E$26,5,FALSE))</x:f>
        <x:v>510000</x:v>
      </x:c>
      <x:c r="I47" s="17" t="n">
        <x:f>IF(OR(F47="",H47=""),"",ROUND(F47/H47,1))</x:f>
        <x:v>294.1</x:v>
      </x:c>
      <x:c r="J47" s="9" t="s">
        <x:v>103</x:v>
      </x:c>
    </x:row>
    <x:row r="48" ht="15.75" customHeight="1">
      <x:c r="A48" s="11">
        <x:v>47</x:v>
      </x:c>
      <x:c r="B48" s="9" t="s">
        <x:v>103</x:v>
      </x:c>
      <x:c r="C48" s="9" t="str">
        <x:v>Brachiosaurus</x:v>
      </x:c>
      <x:c r="D48" s="9" t="s">
        <x:v>93</x:v>
      </x:c>
      <x:c r="E48" s="13">
        <x:v>690</x:v>
      </x:c>
      <x:c r="F48" s="13">
        <x:v>170000000</x:v>
      </x:c>
      <x:c r="G48" s="9" t="str">
        <x:v>DragonfruitTree</x:v>
      </x:c>
      <x:c r="H48" s="13" t="n">
        <x:f>IF(G48="","",VLOOKUP(G48,'Feeds'!$A$2:$E$26,5,FALSE))</x:f>
        <x:v>510000</x:v>
      </x:c>
      <x:c r="I48" s="17" t="n">
        <x:f>IF(OR(F48="",H48=""),"",ROUND(F48/H48,1))</x:f>
        <x:v>333.3</x:v>
      </x:c>
      <x:c r="J48" s="9" t="s">
        <x:v>104</x:v>
      </x:c>
    </x:row>
    <x:row r="49" ht="15.75" customHeight="1">
      <x:c r="A49" s="11">
        <x:v>48</x:v>
      </x:c>
      <x:c r="B49" s="9" t="s">
        <x:v>104</x:v>
      </x:c>
      <x:c r="C49" s="9" t="str">
        <x:v>Spinosaurus</x:v>
      </x:c>
      <x:c r="D49" s="9" t="s">
        <x:v>93</x:v>
      </x:c>
      <x:c r="E49" s="13">
        <x:v>745</x:v>
      </x:c>
      <x:c r="F49" s="13">
        <x:v>320000000</x:v>
      </x:c>
      <x:c r="G49" s="9" t="str">
        <x:v>GoldenAppleTree</x:v>
      </x:c>
      <x:c r="H49" s="13" t="n">
        <x:f>IF(G49="","",VLOOKUP(G49,'Feeds'!$A$2:$E$26,5,FALSE))</x:f>
        <x:v>870000</x:v>
      </x:c>
      <x:c r="I49" s="17" t="n">
        <x:f>IF(OR(F49="",H49=""),"",ROUND(F49/H49,1))</x:f>
        <x:v>367.8</x:v>
      </x:c>
      <x:c r="J49" s="9" t="s">
        <x:v>105</x:v>
      </x:c>
    </x:row>
    <x:row r="50" ht="15.75" customHeight="1">
      <x:c r="A50" s="11">
        <x:v>49</x:v>
      </x:c>
      <x:c r="B50" s="9" t="s">
        <x:v>105</x:v>
      </x:c>
      <x:c r="C50" s="9" t="str">
        <x:v>T-Rex</x:v>
      </x:c>
      <x:c r="D50" s="9" t="s">
        <x:v>93</x:v>
      </x:c>
      <x:c r="E50" s="13">
        <x:v>800</x:v>
      </x:c>
      <x:c r="F50" s="13">
        <x:v>360000000</x:v>
      </x:c>
      <x:c r="G50" s="9" t="str">
        <x:v>GoldenAppleTree</x:v>
      </x:c>
      <x:c r="H50" s="13" t="n">
        <x:f>IF(G50="","",VLOOKUP(G50,'Feeds'!$A$2:$E$26,5,FALSE))</x:f>
        <x:v>870000</x:v>
      </x:c>
      <x:c r="I50" s="17" t="n">
        <x:f>IF(OR(F50="",H50=""),"",ROUND(F50/H50,1))</x:f>
        <x:v>413.8</x:v>
      </x:c>
      <x:c r="J50" s="9" t="s">
        <x:v>106</x:v>
      </x:c>
    </x:row>
    <x:row r="51" ht="15.75" customHeight="1">
      <x:c r="A51" s="11">
        <x:v>50</x:v>
      </x:c>
      <x:c r="B51" s="9" t="s">
        <x:v>106</x:v>
      </x:c>
      <x:c r="C51" s="9" t="str">
        <x:v>Mammoth</x:v>
      </x:c>
      <x:c r="D51" s="9" t="s">
        <x:v>107</x:v>
      </x:c>
      <x:c r="E51" s="13">
        <x:v>850</x:v>
      </x:c>
      <x:c r="F51" s="13">
        <x:v>500000000</x:v>
      </x:c>
      <x:c r="G51" s="9" t="str">
        <x:v>GoldenAppleTree</x:v>
      </x:c>
      <x:c r="H51" s="13" t="n">
        <x:f>IF(G51="","",VLOOKUP(G51,'Feeds'!$A$2:$E$26,5,FALSE))</x:f>
        <x:v>870000</x:v>
      </x:c>
      <x:c r="I51" s="17" t="n">
        <x:f>IF(OR(F51="",H51=""),"",ROUND(F51/H51,1))</x:f>
        <x:v>574.7</x:v>
      </x:c>
      <x:c r="J51" s="9" t="s">
        <x:v>108</x:v>
      </x:c>
    </x:row>
    <x:row r="52" ht="15.75" customHeight="1">
      <x:c r="A52" s="11">
        <x:v>51</x:v>
      </x:c>
      <x:c r="B52" s="9" t="s">
        <x:v>108</x:v>
      </x:c>
      <x:c r="C52" s="9" t="str">
        <x:v>Mosasaurus</x:v>
      </x:c>
      <x:c r="D52" s="9" t="s">
        <x:v>107</x:v>
      </x:c>
      <x:c r="E52" s="13">
        <x:v>900</x:v>
      </x:c>
      <x:c r="F52" s="13">
        <x:v>1200000000</x:v>
      </x:c>
      <x:c r="G52" s="9" t="str">
        <x:v>DurianTree</x:v>
      </x:c>
      <x:c r="H52" s="13" t="n">
        <x:f>IF(G52="","",VLOOKUP(G52,'Feeds'!$A$2:$E$26,5,FALSE))</x:f>
        <x:v>1500000</x:v>
      </x:c>
      <x:c r="I52" s="17" t="n">
        <x:f>IF(OR(F52="",H52=""),"",ROUND(F52/H52,1))</x:f>
        <x:v>800</x:v>
      </x:c>
      <x:c r="J52" s="9" t="s">
        <x:v>109</x:v>
      </x:c>
    </x:row>
    <x:row r="53" ht="15.75" customHeight="1">
      <x:c r="A53" s="11">
        <x:v>52</x:v>
      </x:c>
      <x:c r="B53" s="9" t="s">
        <x:v>109</x:v>
      </x:c>
      <x:c r="C53" s="9" t="str">
        <x:v>Kitsune</x:v>
      </x:c>
      <x:c r="D53" s="9" t="s">
        <x:v>107</x:v>
      </x:c>
      <x:c r="E53" s="13">
        <x:v>950</x:v>
      </x:c>
      <x:c r="F53" s="13">
        <x:v>1600000000</x:v>
      </x:c>
      <x:c r="G53" s="9" t="str">
        <x:v>DurianTree</x:v>
      </x:c>
      <x:c r="H53" s="13" t="n">
        <x:f>IF(G53="","",VLOOKUP(G53,'Feeds'!$A$2:$E$26,5,FALSE))</x:f>
        <x:v>1500000</x:v>
      </x:c>
      <x:c r="I53" s="17" t="n">
        <x:f>IF(OR(F53="",H53=""),"",ROUND(F53/H53,1))</x:f>
        <x:v>1066.7</x:v>
      </x:c>
      <x:c r="J53" s="9" t="s">
        <x:v>110</x:v>
      </x:c>
    </x:row>
    <x:row r="54" ht="15.75" customHeight="1">
      <x:c r="A54" s="11">
        <x:v>53</x:v>
      </x:c>
      <x:c r="B54" s="9" t="s">
        <x:v>110</x:v>
      </x:c>
      <x:c r="C54" s="9" t="str">
        <x:v>Unicorn</x:v>
      </x:c>
      <x:c r="D54" s="9" t="s">
        <x:v>107</x:v>
      </x:c>
      <x:c r="E54" s="13">
        <x:v>1000</x:v>
      </x:c>
      <x:c r="F54" s="13" t="n">
        <x:f>ROUND(1000*H54,0)</x:f>
        <x:v>3000000000</x:v>
      </x:c>
      <x:c r="G54" s="9" t="str">
        <x:v>GoldenmelonPatch</x:v>
      </x:c>
      <x:c r="H54" s="13" t="n">
        <x:f>IF(G54="","",VLOOKUP(G54,'Feeds'!$A$2:$E$26,5,FALSE))</x:f>
        <x:v>3000000</x:v>
      </x:c>
      <x:c r="I54" s="17" t="n">
        <x:f>IF(OR(F54="",H54=""),"",ROUND(F54/H54,1))</x:f>
        <x:v>1000</x:v>
      </x:c>
      <x:c r="J54" s="9" t="s">
        <x:v>111</x:v>
      </x:c>
    </x:row>
    <x:row r="55" ht="15.75" customHeight="1">
      <x:c r="A55" s="11">
        <x:v>54</x:v>
      </x:c>
      <x:c r="B55" s="9" t="s">
        <x:v>111</x:v>
      </x:c>
      <x:c r="C55" s="9" t="str">
        <x:v>Golden Chicken</x:v>
      </x:c>
      <x:c r="D55" s="9" t="s">
        <x:v>54</x:v>
      </x:c>
      <x:c r="E55" s="13" t="n">
        <x:f>IF($E$54*(1.05^(A55-$A$54))&lt;2000,ROUND($E$54*(1.05^(A55-$A$54))/50,0)*50,IF($E$54*(1.05^(A55-$A$54))&lt;10000,ROUND($E$54*(1.05^(A55-$A$54))/100,0)*100,ROUND($E$54*(1.05^(A55-$A$54))/500,0)*500))</x:f>
        <x:v>1050</x:v>
      </x:c>
      <x:c r="F55" s="13" t="n">
        <x:f>ROUND(20*H55,0)</x:f>
        <x:v>60000000</x:v>
      </x:c>
      <x:c r="G55" s="9" t="str">
        <x:v>GoldenmelonPatch</x:v>
      </x:c>
      <x:c r="H55" s="13" t="n">
        <x:f>IF(G55="","",VLOOKUP(G55,'Feeds'!$A$2:$E$26,5,FALSE))</x:f>
        <x:v>3000000</x:v>
      </x:c>
      <x:c r="I55" s="17" t="n">
        <x:f>IF(OR(F55="",H55=""),"",ROUND(F55/H55,1))</x:f>
        <x:v>20</x:v>
      </x:c>
      <x:c r="J55" s="9" t="s">
        <x:v>112</x:v>
      </x:c>
    </x:row>
    <x:row r="56" ht="15.75" customHeight="1">
      <x:c r="A56" s="11">
        <x:v>55</x:v>
      </x:c>
      <x:c r="B56" s="9" t="s">
        <x:v>112</x:v>
      </x:c>
      <x:c r="C56" s="9" t="str">
        <x:v>Golden Hamster</x:v>
      </x:c>
      <x:c r="D56" s="9" t="s">
        <x:v>54</x:v>
      </x:c>
      <x:c r="E56" s="13" t="n">
        <x:f>IF($E$54*(1.05^(A56-$A$54))&lt;2000,ROUND($E$54*(1.05^(A56-$A$54))/50,0)*50,IF($E$54*(1.05^(A56-$A$54))&lt;10000,ROUND($E$54*(1.05^(A56-$A$54))/100,0)*100,ROUND($E$54*(1.05^(A56-$A$54))/500,0)*500))</x:f>
        <x:v>1100</x:v>
      </x:c>
      <x:c r="F56" s="13" t="n">
        <x:f>ROUND(45*H56,0)</x:f>
        <x:v>135000000</x:v>
      </x:c>
      <x:c r="G56" s="9" t="str">
        <x:v>GoldenmelonPatch</x:v>
      </x:c>
      <x:c r="H56" s="13" t="n">
        <x:f>IF(G56="","",VLOOKUP(G56,'Feeds'!$A$2:$E$26,5,FALSE))</x:f>
        <x:v>3000000</x:v>
      </x:c>
      <x:c r="I56" s="17" t="n">
        <x:f>IF(OR(F56="",H56=""),"",ROUND(F56/H56,1))</x:f>
        <x:v>45</x:v>
      </x:c>
      <x:c r="J56" s="9" t="s">
        <x:v>113</x:v>
      </x:c>
    </x:row>
    <x:row r="57" ht="15.75" customHeight="1">
      <x:c r="A57" s="11">
        <x:v>56</x:v>
      </x:c>
      <x:c r="B57" s="9" t="s">
        <x:v>113</x:v>
      </x:c>
      <x:c r="C57" s="9" t="str">
        <x:v>Golden Guinea Pig</x:v>
      </x:c>
      <x:c r="D57" s="9" t="s">
        <x:v>54</x:v>
      </x:c>
      <x:c r="E57" s="13" t="n">
        <x:f>IF($E$54*(1.05^(A57-$A$54))&lt;2000,ROUND($E$54*(1.05^(A57-$A$54))/50,0)*50,IF($E$54*(1.05^(A57-$A$54))&lt;10000,ROUND($E$54*(1.05^(A57-$A$54))/100,0)*100,ROUND($E$54*(1.05^(A57-$A$54))/500,0)*500))</x:f>
        <x:v>1150</x:v>
      </x:c>
      <x:c r="F57" s="13" t="n">
        <x:f>ROUND(60*H57,0)</x:f>
        <x:v>180000000</x:v>
      </x:c>
      <x:c r="G57" s="9" t="str">
        <x:v>GoldenmelonPatch</x:v>
      </x:c>
      <x:c r="H57" s="13" t="n">
        <x:f>IF(G57="","",VLOOKUP(G57,'Feeds'!$A$2:$E$26,5,FALSE))</x:f>
        <x:v>3000000</x:v>
      </x:c>
      <x:c r="I57" s="17" t="n">
        <x:f>IF(OR(F57="",H57=""),"",ROUND(F57/H57,1))</x:f>
        <x:v>60</x:v>
      </x:c>
      <x:c r="J57" s="9" t="s">
        <x:v>114</x:v>
      </x:c>
    </x:row>
    <x:row r="58" ht="15.75" customHeight="1">
      <x:c r="A58" s="11">
        <x:v>57</x:v>
      </x:c>
      <x:c r="B58" s="9" t="s">
        <x:v>114</x:v>
      </x:c>
      <x:c r="C58" s="9" t="str">
        <x:v>Golden Bunny</x:v>
      </x:c>
      <x:c r="D58" s="9" t="s">
        <x:v>54</x:v>
      </x:c>
      <x:c r="E58" s="13" t="n">
        <x:f>IF($E$54*(1.05^(A58-$A$54))&lt;2000,ROUND($E$54*(1.05^(A58-$A$54))/50,0)*50,IF($E$54*(1.05^(A58-$A$54))&lt;10000,ROUND($E$54*(1.05^(A58-$A$54))/100,0)*100,ROUND($E$54*(1.05^(A58-$A$54))/500,0)*500))</x:f>
        <x:v>1200</x:v>
      </x:c>
      <x:c r="F58" s="13" t="n">
        <x:f>ROUND(100*H58,0)</x:f>
        <x:v>300000000</x:v>
      </x:c>
      <x:c r="G58" s="9" t="str">
        <x:v>GoldenmelonPatch</x:v>
      </x:c>
      <x:c r="H58" s="13" t="n">
        <x:f>IF(G58="","",VLOOKUP(G58,'Feeds'!$A$2:$E$26,5,FALSE))</x:f>
        <x:v>3000000</x:v>
      </x:c>
      <x:c r="I58" s="17" t="n">
        <x:f>IF(OR(F58="",H58=""),"",ROUND(F58/H58,1))</x:f>
        <x:v>100</x:v>
      </x:c>
      <x:c r="J58" s="9" t="s">
        <x:v>115</x:v>
      </x:c>
    </x:row>
    <x:row r="59" ht="15.75" customHeight="1">
      <x:c r="A59" s="11">
        <x:v>58</x:v>
      </x:c>
      <x:c r="B59" s="9" t="s">
        <x:v>115</x:v>
      </x:c>
      <x:c r="C59" s="9" t="str">
        <x:v>Golden Pigeon</x:v>
      </x:c>
      <x:c r="D59" s="9" t="s">
        <x:v>54</x:v>
      </x:c>
      <x:c r="E59" s="13" t="n">
        <x:f>IF($E$54*(1.05^(A59-$A$54))&lt;2000,ROUND($E$54*(1.05^(A59-$A$54))/50,0)*50,IF($E$54*(1.05^(A59-$A$54))&lt;10000,ROUND($E$54*(1.05^(A59-$A$54))/100,0)*100,ROUND($E$54*(1.05^(A59-$A$54))/500,0)*500))</x:f>
        <x:v>1300</x:v>
      </x:c>
      <x:c r="F59" s="13" t="n">
        <x:f>ROUND(250*H59,0)</x:f>
        <x:v>750000000</x:v>
      </x:c>
      <x:c r="G59" s="9" t="str">
        <x:v>GoldenmelonPatch</x:v>
      </x:c>
      <x:c r="H59" s="13" t="n">
        <x:f>IF(G59="","",VLOOKUP(G59,'Feeds'!$A$2:$E$26,5,FALSE))</x:f>
        <x:v>3000000</x:v>
      </x:c>
      <x:c r="I59" s="17" t="n">
        <x:f>IF(OR(F59="",H59=""),"",ROUND(F59/H59,1))</x:f>
        <x:v>250</x:v>
      </x:c>
      <x:c r="J59" s="9" t="s">
        <x:v>116</x:v>
      </x:c>
    </x:row>
    <x:row r="60" ht="15.75" customHeight="1">
      <x:c r="A60" s="11">
        <x:v>59</x:v>
      </x:c>
      <x:c r="B60" s="9" t="s">
        <x:v>116</x:v>
      </x:c>
      <x:c r="C60" s="9" t="str">
        <x:v>Golden Parrot</x:v>
      </x:c>
      <x:c r="D60" s="9" t="s">
        <x:v>54</x:v>
      </x:c>
      <x:c r="E60" s="13" t="n">
        <x:f>IF($E$54*(1.05^(A60-$A$54))&lt;2000,ROUND($E$54*(1.05^(A60-$A$54))/50,0)*50,IF($E$54*(1.05^(A60-$A$54))&lt;10000,ROUND($E$54*(1.05^(A60-$A$54))/100,0)*100,ROUND($E$54*(1.05^(A60-$A$54))/500,0)*500))</x:f>
        <x:v>1350</x:v>
      </x:c>
      <x:c r="F60" s="13" t="n">
        <x:f>ROUND(((250*((2000/250)^((A60-$A$59)/($A$107-$A$59)))*H60)/10000000)+0.000000001,0)*10000000</x:f>
        <x:v>780000000</x:v>
      </x:c>
      <x:c r="G60" s="9" t="str">
        <x:v>GoldenmelonPatch</x:v>
      </x:c>
      <x:c r="H60" s="13" t="n">
        <x:f>IF(G60="","",VLOOKUP(G60,'Feeds'!$A$2:$E$26,5,FALSE))</x:f>
        <x:v>3000000</x:v>
      </x:c>
      <x:c r="I60" s="17" t="n">
        <x:f>IF(OR(F60="",H60=""),"",ROUND(F60/H60,1))</x:f>
        <x:v>260</x:v>
      </x:c>
      <x:c r="J60" s="9" t="s">
        <x:v>117</x:v>
      </x:c>
    </x:row>
    <x:row r="61" ht="15.75" customHeight="1">
      <x:c r="A61" s="11">
        <x:v>60</x:v>
      </x:c>
      <x:c r="B61" s="9" t="s">
        <x:v>117</x:v>
      </x:c>
      <x:c r="C61" s="9" t="str">
        <x:v>Golden Owl</x:v>
      </x:c>
      <x:c r="D61" s="9" t="s">
        <x:v>54</x:v>
      </x:c>
      <x:c r="E61" s="13" t="n">
        <x:f>IF($E$54*(1.05^(A61-$A$54))&lt;2000,ROUND($E$54*(1.05^(A61-$A$54))/50,0)*50,IF($E$54*(1.05^(A61-$A$54))&lt;10000,ROUND($E$54*(1.05^(A61-$A$54))/100,0)*100,ROUND($E$54*(1.05^(A61-$A$54))/500,0)*500))</x:f>
        <x:v>1400</x:v>
      </x:c>
      <x:c r="F61" s="13" t="n">
        <x:f>ROUND(((250*((2000/250)^((A61-$A$59)/($A$107-$A$59)))*H61)/10000000)+0.000000001,0)*10000000</x:f>
        <x:v>820000000</x:v>
      </x:c>
      <x:c r="G61" s="9" t="str">
        <x:v>GoldenmelonPatch</x:v>
      </x:c>
      <x:c r="H61" s="13" t="n">
        <x:f>IF(G61="","",VLOOKUP(G61,'Feeds'!$A$2:$E$26,5,FALSE))</x:f>
        <x:v>3000000</x:v>
      </x:c>
      <x:c r="I61" s="17" t="n">
        <x:f>IF(OR(F61="",H61=""),"",ROUND(F61/H61,1))</x:f>
        <x:v>273.3</x:v>
      </x:c>
      <x:c r="J61" s="9" t="s">
        <x:v>118</x:v>
      </x:c>
    </x:row>
    <x:row r="62" ht="15.75" customHeight="1">
      <x:c r="A62" s="11">
        <x:v>61</x:v>
      </x:c>
      <x:c r="B62" s="9" t="s">
        <x:v>118</x:v>
      </x:c>
      <x:c r="C62" s="9" t="str">
        <x:v>Golden Bat</x:v>
      </x:c>
      <x:c r="D62" s="9" t="s">
        <x:v>54</x:v>
      </x:c>
      <x:c r="E62" s="13" t="n">
        <x:f>IF($E$54*(1.05^(A62-$A$54))&lt;2000,ROUND($E$54*(1.05^(A62-$A$54))/50,0)*50,IF($E$54*(1.05^(A62-$A$54))&lt;10000,ROUND($E$54*(1.05^(A62-$A$54))/100,0)*100,ROUND($E$54*(1.05^(A62-$A$54))/500,0)*500))</x:f>
        <x:v>1500</x:v>
      </x:c>
      <x:c r="F62" s="13" t="n">
        <x:f>ROUND(((250*((2000/250)^((A62-$A$59)/($A$107-$A$59)))*H62)/10000000)+0.000000001,0)*10000000</x:f>
        <x:v>850000000</x:v>
      </x:c>
      <x:c r="G62" s="9" t="str">
        <x:v>GoldenmelonPatch</x:v>
      </x:c>
      <x:c r="H62" s="13" t="n">
        <x:f>IF(G62="","",VLOOKUP(G62,'Feeds'!$A$2:$E$26,5,FALSE))</x:f>
        <x:v>3000000</x:v>
      </x:c>
      <x:c r="I62" s="17" t="n">
        <x:f>IF(OR(F62="",H62=""),"",ROUND(F62/H62,1))</x:f>
        <x:v>283.3</x:v>
      </x:c>
      <x:c r="J62" s="9" t="s">
        <x:v>119</x:v>
      </x:c>
    </x:row>
    <x:row r="63" ht="15.75" customHeight="1">
      <x:c r="A63" s="11">
        <x:v>62</x:v>
      </x:c>
      <x:c r="B63" s="9" t="s">
        <x:v>119</x:v>
      </x:c>
      <x:c r="C63" s="9" t="str">
        <x:v>Golden Cat</x:v>
      </x:c>
      <x:c r="D63" s="9" t="s">
        <x:v>54</x:v>
      </x:c>
      <x:c r="E63" s="13" t="n">
        <x:f>IF($E$54*(1.05^(A63-$A$54))&lt;2000,ROUND($E$54*(1.05^(A63-$A$54))/50,0)*50,IF($E$54*(1.05^(A63-$A$54))&lt;10000,ROUND($E$54*(1.05^(A63-$A$54))/100,0)*100,ROUND($E$54*(1.05^(A63-$A$54))/500,0)*500))</x:f>
        <x:v>1550</x:v>
      </x:c>
      <x:c r="F63" s="13" t="n">
        <x:f>ROUND(((250*((2000/250)^((A63-$A$59)/($A$107-$A$59)))*H63)/10000000)+0.000000001,0)*10000000</x:f>
        <x:v>890000000</x:v>
      </x:c>
      <x:c r="G63" s="9" t="str">
        <x:v>GoldenmelonPatch</x:v>
      </x:c>
      <x:c r="H63" s="13" t="n">
        <x:f>IF(G63="","",VLOOKUP(G63,'Feeds'!$A$2:$E$26,5,FALSE))</x:f>
        <x:v>3000000</x:v>
      </x:c>
      <x:c r="I63" s="17" t="n">
        <x:f>IF(OR(F63="",H63=""),"",ROUND(F63/H63,1))</x:f>
        <x:v>296.7</x:v>
      </x:c>
      <x:c r="J63" s="9" t="s">
        <x:v>120</x:v>
      </x:c>
    </x:row>
    <x:row r="64" ht="15.75" customHeight="1">
      <x:c r="A64" s="11">
        <x:v>63</x:v>
      </x:c>
      <x:c r="B64" s="9" t="s">
        <x:v>120</x:v>
      </x:c>
      <x:c r="C64" s="9" t="str">
        <x:v>Golden Goat</x:v>
      </x:c>
      <x:c r="D64" s="9" t="s">
        <x:v>54</x:v>
      </x:c>
      <x:c r="E64" s="13" t="n">
        <x:f>IF($E$54*(1.05^(A64-$A$54))&lt;2000,ROUND($E$54*(1.05^(A64-$A$54))/50,0)*50,IF($E$54*(1.05^(A64-$A$54))&lt;10000,ROUND($E$54*(1.05^(A64-$A$54))/100,0)*100,ROUND($E$54*(1.05^(A64-$A$54))/500,0)*500))</x:f>
        <x:v>1650</x:v>
      </x:c>
      <x:c r="F64" s="13" t="n">
        <x:f>ROUND(((250*((2000/250)^((A64-$A$59)/($A$107-$A$59)))*H64)/10000000)+0.000000001,0)*10000000</x:f>
        <x:v>930000000</x:v>
      </x:c>
      <x:c r="G64" s="9" t="str">
        <x:v>GoldenmelonPatch</x:v>
      </x:c>
      <x:c r="H64" s="13" t="n">
        <x:f>IF(G64="","",VLOOKUP(G64,'Feeds'!$A$2:$E$26,5,FALSE))</x:f>
        <x:v>3000000</x:v>
      </x:c>
      <x:c r="I64" s="17" t="n">
        <x:f>IF(OR(F64="",H64=""),"",ROUND(F64/H64,1))</x:f>
        <x:v>310</x:v>
      </x:c>
      <x:c r="J64" s="9" t="s">
        <x:v>121</x:v>
      </x:c>
    </x:row>
    <x:row r="65" ht="15.75" customHeight="1">
      <x:c r="A65" s="11">
        <x:v>64</x:v>
      </x:c>
      <x:c r="B65" s="9" t="s">
        <x:v>121</x:v>
      </x:c>
      <x:c r="C65" s="9" t="str">
        <x:v>Golden Cow</x:v>
      </x:c>
      <x:c r="D65" s="9" t="s">
        <x:v>65</x:v>
      </x:c>
      <x:c r="E65" s="13" t="n">
        <x:f>IF($E$54*(1.05^(A65-$A$54))&lt;2000,ROUND($E$54*(1.05^(A65-$A$54))/50,0)*50,IF($E$54*(1.05^(A65-$A$54))&lt;10000,ROUND($E$54*(1.05^(A65-$A$54))/100,0)*100,ROUND($E$54*(1.05^(A65-$A$54))/500,0)*500))</x:f>
        <x:v>1700</x:v>
      </x:c>
      <x:c r="F65" s="13" t="n">
        <x:f>ROUND(((250*((2000/250)^((A65-$A$59)/($A$107-$A$59)))*H65)/10000000)+0.000000001,0)*10000000</x:f>
        <x:v>970000000</x:v>
      </x:c>
      <x:c r="G65" s="9" t="str">
        <x:v>GoldenmelonPatch</x:v>
      </x:c>
      <x:c r="H65" s="13" t="n">
        <x:f>IF(G65="","",VLOOKUP(G65,'Feeds'!$A$2:$E$26,5,FALSE))</x:f>
        <x:v>3000000</x:v>
      </x:c>
      <x:c r="I65" s="17" t="n">
        <x:f>IF(OR(F65="",H65=""),"",ROUND(F65/H65,1))</x:f>
        <x:v>323.3</x:v>
      </x:c>
      <x:c r="J65" s="9" t="s">
        <x:v>122</x:v>
      </x:c>
    </x:row>
    <x:row r="66" ht="15.75" customHeight="1">
      <x:c r="A66" s="11">
        <x:v>65</x:v>
      </x:c>
      <x:c r="B66" s="9" t="s">
        <x:v>122</x:v>
      </x:c>
      <x:c r="C66" s="9" t="str">
        <x:v>Golden Bull</x:v>
      </x:c>
      <x:c r="D66" s="9" t="s">
        <x:v>65</x:v>
      </x:c>
      <x:c r="E66" s="13" t="n">
        <x:f>IF($E$54*(1.05^(A66-$A$54))&lt;2000,ROUND($E$54*(1.05^(A66-$A$54))/50,0)*50,IF($E$54*(1.05^(A66-$A$54))&lt;10000,ROUND($E$54*(1.05^(A66-$A$54))/100,0)*100,ROUND($E$54*(1.05^(A66-$A$54))/500,0)*500))</x:f>
        <x:v>1800</x:v>
      </x:c>
      <x:c r="F66" s="13" t="n">
        <x:f>ROUND(((250*((2000/250)^((A66-$A$59)/($A$107-$A$59)))*H66)/100000000)+0.000000001,0)*100000000</x:f>
        <x:v>2500000000</x:v>
      </x:c>
      <x:c r="G66" s="9" t="str">
        <x:v>GoldenCactus</x:v>
      </x:c>
      <x:c r="H66" s="13" t="n">
        <x:f>IF(G66="","",VLOOKUP(G66,'Feeds'!$A$2:$E$26,5,FALSE))</x:f>
        <x:v>7500000</x:v>
      </x:c>
      <x:c r="I66" s="17" t="n">
        <x:f>IF(OR(F66="",H66=""),"",ROUND(F66/H66,1))</x:f>
        <x:v>333.3</x:v>
      </x:c>
      <x:c r="J66" s="9" t="s">
        <x:v>123</x:v>
      </x:c>
    </x:row>
    <x:row r="67" ht="15.75" customHeight="1">
      <x:c r="A67" s="11">
        <x:v>66</x:v>
      </x:c>
      <x:c r="B67" s="9" t="s">
        <x:v>123</x:v>
      </x:c>
      <x:c r="C67" s="9" t="str">
        <x:v>Golden Pony</x:v>
      </x:c>
      <x:c r="D67" s="9" t="s">
        <x:v>65</x:v>
      </x:c>
      <x:c r="E67" s="13" t="n">
        <x:f>IF($E$54*(1.05^(A67-$A$54))&lt;2000,ROUND($E$54*(1.05^(A67-$A$54))/50,0)*50,IF($E$54*(1.05^(A67-$A$54))&lt;10000,ROUND($E$54*(1.05^(A67-$A$54))/100,0)*100,ROUND($E$54*(1.05^(A67-$A$54))/500,0)*500))</x:f>
        <x:v>1900</x:v>
      </x:c>
      <x:c r="F67" s="13" t="n">
        <x:f>ROUND(((250*((2000/250)^((A67-$A$59)/($A$107-$A$59)))*H67)/100000000)+0.000000001,0)*100000000</x:f>
        <x:v>2700000000</x:v>
      </x:c>
      <x:c r="G67" s="9" t="str">
        <x:v>GoldenCactus</x:v>
      </x:c>
      <x:c r="H67" s="13" t="n">
        <x:f>IF(G67="","",VLOOKUP(G67,'Feeds'!$A$2:$E$26,5,FALSE))</x:f>
        <x:v>7500000</x:v>
      </x:c>
      <x:c r="I67" s="17" t="n">
        <x:f>IF(OR(F67="",H67=""),"",ROUND(F67/H67,1))</x:f>
        <x:v>360</x:v>
      </x:c>
      <x:c r="J67" s="9" t="s">
        <x:v>124</x:v>
      </x:c>
    </x:row>
    <x:row r="68" ht="15.75" customHeight="1">
      <x:c r="A68" s="11">
        <x:v>67</x:v>
      </x:c>
      <x:c r="B68" s="9" t="s">
        <x:v>124</x:v>
      </x:c>
      <x:c r="C68" s="9" t="str">
        <x:v>Golden Horse</x:v>
      </x:c>
      <x:c r="D68" s="9" t="s">
        <x:v>65</x:v>
      </x:c>
      <x:c r="E68" s="13" t="n">
        <x:f>IF($E$54*(1.05^(A68-$A$54))&lt;2000,ROUND($E$54*(1.05^(A68-$A$54))/50,0)*50,IF($E$54*(1.05^(A68-$A$54))&lt;10000,ROUND($E$54*(1.05^(A68-$A$54))/100,0)*100,ROUND($E$54*(1.05^(A68-$A$54))/500,0)*500))</x:f>
        <x:v>2000</x:v>
      </x:c>
      <x:c r="F68" s="13" t="n">
        <x:f>ROUND(((250*((2000/250)^((A68-$A$59)/($A$107-$A$59)))*H68)/100000000)+0.000000001,0)*100000000</x:f>
        <x:v>2800000000</x:v>
      </x:c>
      <x:c r="G68" s="9" t="str">
        <x:v>GoldenCactus</x:v>
      </x:c>
      <x:c r="H68" s="13" t="n">
        <x:f>IF(G68="","",VLOOKUP(G68,'Feeds'!$A$2:$E$26,5,FALSE))</x:f>
        <x:v>7500000</x:v>
      </x:c>
      <x:c r="I68" s="17" t="n">
        <x:f>IF(OR(F68="",H68=""),"",ROUND(F68/H68,1))</x:f>
        <x:v>373.3</x:v>
      </x:c>
      <x:c r="J68" s="9" t="s">
        <x:v>125</x:v>
      </x:c>
    </x:row>
    <x:row r="69" ht="15.75" customHeight="1">
      <x:c r="A69" s="11">
        <x:v>68</x:v>
      </x:c>
      <x:c r="B69" s="9" t="s">
        <x:v>125</x:v>
      </x:c>
      <x:c r="C69" s="9" t="str">
        <x:v>Golden Retriever (Golden)</x:v>
      </x:c>
      <x:c r="D69" s="9" t="s">
        <x:v>65</x:v>
      </x:c>
      <x:c r="E69" s="13" t="n">
        <x:f>IF($E$54*(1.05^(A69-$A$54))&lt;2000,ROUND($E$54*(1.05^(A69-$A$54))/50,0)*50,IF($E$54*(1.05^(A69-$A$54))&lt;10000,ROUND($E$54*(1.05^(A69-$A$54))/100,0)*100,ROUND($E$54*(1.05^(A69-$A$54))/500,0)*500))</x:f>
        <x:v>2100</x:v>
      </x:c>
      <x:c r="F69" s="13" t="n">
        <x:f>ROUND(((250*((2000/250)^((A69-$A$59)/($A$107-$A$59)))*H69)/100000000)+0.000000001,0)*100000000</x:f>
        <x:v>2900000000</x:v>
      </x:c>
      <x:c r="G69" s="9" t="str">
        <x:v>GoldenCactus</x:v>
      </x:c>
      <x:c r="H69" s="13" t="n">
        <x:f>IF(G69="","",VLOOKUP(G69,'Feeds'!$A$2:$E$26,5,FALSE))</x:f>
        <x:v>7500000</x:v>
      </x:c>
      <x:c r="I69" s="17" t="n">
        <x:f>IF(OR(F69="",H69=""),"",ROUND(F69/H69,1))</x:f>
        <x:v>386.7</x:v>
      </x:c>
      <x:c r="J69" s="9" t="s">
        <x:v>126</x:v>
      </x:c>
    </x:row>
    <x:row r="70" ht="15.75" customHeight="1">
      <x:c r="A70" s="11">
        <x:v>69</x:v>
      </x:c>
      <x:c r="B70" s="9" t="s">
        <x:v>126</x:v>
      </x:c>
      <x:c r="C70" s="9" t="str">
        <x:v>Golden Llama</x:v>
      </x:c>
      <x:c r="D70" s="9" t="s">
        <x:v>65</x:v>
      </x:c>
      <x:c r="E70" s="13" t="n">
        <x:f>IF($E$54*(1.05^(A70-$A$54))&lt;2000,ROUND($E$54*(1.05^(A70-$A$54))/50,0)*50,IF($E$54*(1.05^(A70-$A$54))&lt;10000,ROUND($E$54*(1.05^(A70-$A$54))/100,0)*100,ROUND($E$54*(1.05^(A70-$A$54))/500,0)*500))</x:f>
        <x:v>2200</x:v>
      </x:c>
      <x:c r="F70" s="13" t="n">
        <x:f>ROUND(((250*((2000/250)^((A70-$A$59)/($A$107-$A$59)))*H70)/100000000)+0.000000001,0)*100000000</x:f>
        <x:v>3000000000</x:v>
      </x:c>
      <x:c r="G70" s="9" t="str">
        <x:v>GoldenCactus</x:v>
      </x:c>
      <x:c r="H70" s="13" t="n">
        <x:f>IF(G70="","",VLOOKUP(G70,'Feeds'!$A$2:$E$26,5,FALSE))</x:f>
        <x:v>7500000</x:v>
      </x:c>
      <x:c r="I70" s="17" t="n">
        <x:f>IF(OR(F70="",H70=""),"",ROUND(F70/H70,1))</x:f>
        <x:v>400</x:v>
      </x:c>
      <x:c r="J70" s="9" t="s">
        <x:v>127</x:v>
      </x:c>
    </x:row>
    <x:row r="71" ht="15.75" customHeight="1">
      <x:c r="A71" s="11">
        <x:v>70</x:v>
      </x:c>
      <x:c r="B71" s="9" t="s">
        <x:v>127</x:v>
      </x:c>
      <x:c r="C71" s="9" t="str">
        <x:v>Golden Capybara</x:v>
      </x:c>
      <x:c r="D71" s="9" t="s">
        <x:v>65</x:v>
      </x:c>
      <x:c r="E71" s="13" t="n">
        <x:f>IF($E$54*(1.05^(A71-$A$54))&lt;2000,ROUND($E$54*(1.05^(A71-$A$54))/50,0)*50,IF($E$54*(1.05^(A71-$A$54))&lt;10000,ROUND($E$54*(1.05^(A71-$A$54))/100,0)*100,ROUND($E$54*(1.05^(A71-$A$54))/500,0)*500))</x:f>
        <x:v>2300</x:v>
      </x:c>
      <x:c r="F71" s="13" t="n">
        <x:f>ROUND(((250*((2000/250)^((A71-$A$59)/($A$107-$A$59)))*H71)/100000000)+0.000000001,0)*100000000</x:f>
        <x:v>3200000000</x:v>
      </x:c>
      <x:c r="G71" s="9" t="str">
        <x:v>GoldenCactus</x:v>
      </x:c>
      <x:c r="H71" s="13" t="n">
        <x:f>IF(G71="","",VLOOKUP(G71,'Feeds'!$A$2:$E$26,5,FALSE))</x:f>
        <x:v>7500000</x:v>
      </x:c>
      <x:c r="I71" s="17" t="n">
        <x:f>IF(OR(F71="",H71=""),"",ROUND(F71/H71,1))</x:f>
        <x:v>426.7</x:v>
      </x:c>
      <x:c r="J71" s="9" t="s">
        <x:v>128</x:v>
      </x:c>
    </x:row>
    <x:row r="72" ht="15.75" customHeight="1">
      <x:c r="A72" s="11">
        <x:v>71</x:v>
      </x:c>
      <x:c r="B72" s="9" t="s">
        <x:v>128</x:v>
      </x:c>
      <x:c r="C72" s="9" t="str">
        <x:v>Golden Koala</x:v>
      </x:c>
      <x:c r="D72" s="9" t="s">
        <x:v>65</x:v>
      </x:c>
      <x:c r="E72" s="13" t="n">
        <x:f>IF($E$54*(1.05^(A72-$A$54))&lt;2000,ROUND($E$54*(1.05^(A72-$A$54))/50,0)*50,IF($E$54*(1.05^(A72-$A$54))&lt;10000,ROUND($E$54*(1.05^(A72-$A$54))/100,0)*100,ROUND($E$54*(1.05^(A72-$A$54))/500,0)*500))</x:f>
        <x:v>2400</x:v>
      </x:c>
      <x:c r="F72" s="13" t="n">
        <x:f>ROUND(((250*((2000/250)^((A72-$A$59)/($A$107-$A$59)))*H72)/100000000)+0.000000001,0)*100000000</x:f>
        <x:v>3300000000</x:v>
      </x:c>
      <x:c r="G72" s="9" t="str">
        <x:v>GoldenCactus</x:v>
      </x:c>
      <x:c r="H72" s="13" t="n">
        <x:f>IF(G72="","",VLOOKUP(G72,'Feeds'!$A$2:$E$26,5,FALSE))</x:f>
        <x:v>7500000</x:v>
      </x:c>
      <x:c r="I72" s="17" t="n">
        <x:f>IF(OR(F72="",H72=""),"",ROUND(F72/H72,1))</x:f>
        <x:v>440</x:v>
      </x:c>
      <x:c r="J72" s="9" t="s">
        <x:v>129</x:v>
      </x:c>
    </x:row>
    <x:row r="73" ht="15.75" customHeight="1">
      <x:c r="A73" s="11">
        <x:v>72</x:v>
      </x:c>
      <x:c r="B73" s="9" t="s">
        <x:v>129</x:v>
      </x:c>
      <x:c r="C73" s="9" t="str">
        <x:v>Golden Turtle</x:v>
      </x:c>
      <x:c r="D73" s="9" t="s">
        <x:v>65</x:v>
      </x:c>
      <x:c r="E73" s="13" t="n">
        <x:f>IF($E$54*(1.05^(A73-$A$54))&lt;2000,ROUND($E$54*(1.05^(A73-$A$54))/50,0)*50,IF($E$54*(1.05^(A73-$A$54))&lt;10000,ROUND($E$54*(1.05^(A73-$A$54))/100,0)*100,ROUND($E$54*(1.05^(A73-$A$54))/500,0)*500))</x:f>
        <x:v>2500</x:v>
      </x:c>
      <x:c r="F73" s="13" t="n">
        <x:f>ROUND(((250*((2000/250)^((A73-$A$59)/($A$107-$A$59)))*H73)/100000000)+0.000000001,0)*100000000</x:f>
        <x:v>3400000000</x:v>
      </x:c>
      <x:c r="G73" s="9" t="str">
        <x:v>GoldenCactus</x:v>
      </x:c>
      <x:c r="H73" s="13" t="n">
        <x:f>IF(G73="","",VLOOKUP(G73,'Feeds'!$A$2:$E$26,5,FALSE))</x:f>
        <x:v>7500000</x:v>
      </x:c>
      <x:c r="I73" s="17" t="n">
        <x:f>IF(OR(F73="",H73=""),"",ROUND(F73/H73,1))</x:f>
        <x:v>453.3</x:v>
      </x:c>
      <x:c r="J73" s="9" t="s">
        <x:v>130</x:v>
      </x:c>
    </x:row>
    <x:row r="74" ht="15.75" customHeight="1">
      <x:c r="A74" s="11">
        <x:v>73</x:v>
      </x:c>
      <x:c r="B74" s="9" t="s">
        <x:v>130</x:v>
      </x:c>
      <x:c r="C74" s="9" t="str">
        <x:v>Golden Lizard</x:v>
      </x:c>
      <x:c r="D74" s="9" t="s">
        <x:v>65</x:v>
      </x:c>
      <x:c r="E74" s="13" t="n">
        <x:f>IF($E$54*(1.05^(A74-$A$54))&lt;2000,ROUND($E$54*(1.05^(A74-$A$54))/50,0)*50,IF($E$54*(1.05^(A74-$A$54))&lt;10000,ROUND($E$54*(1.05^(A74-$A$54))/100,0)*100,ROUND($E$54*(1.05^(A74-$A$54))/500,0)*500))</x:f>
        <x:v>2700</x:v>
      </x:c>
      <x:c r="F74" s="13" t="n">
        <x:f>ROUND(((250*((2000/250)^((A74-$A$59)/($A$107-$A$59)))*H74)/100000000)+0.000000001,0)*100000000</x:f>
        <x:v>3600000000</x:v>
      </x:c>
      <x:c r="G74" s="9" t="str">
        <x:v>GoldenCactus</x:v>
      </x:c>
      <x:c r="H74" s="13" t="n">
        <x:f>IF(G74="","",VLOOKUP(G74,'Feeds'!$A$2:$E$26,5,FALSE))</x:f>
        <x:v>7500000</x:v>
      </x:c>
      <x:c r="I74" s="17" t="n">
        <x:f>IF(OR(F74="",H74=""),"",ROUND(F74/H74,1))</x:f>
        <x:v>480</x:v>
      </x:c>
      <x:c r="J74" s="9" t="s">
        <x:v>131</x:v>
      </x:c>
    </x:row>
    <x:row r="75" ht="15.75" customHeight="1">
      <x:c r="A75" s="11">
        <x:v>74</x:v>
      </x:c>
      <x:c r="B75" s="9" t="s">
        <x:v>131</x:v>
      </x:c>
      <x:c r="C75" s="9" t="str">
        <x:v>Golden Snail</x:v>
      </x:c>
      <x:c r="D75" s="9" t="s">
        <x:v>76</x:v>
      </x:c>
      <x:c r="E75" s="13" t="n">
        <x:f>IF($E$54*(1.05^(A75-$A$54))&lt;2000,ROUND($E$54*(1.05^(A75-$A$54))/50,0)*50,IF($E$54*(1.05^(A75-$A$54))&lt;10000,ROUND($E$54*(1.05^(A75-$A$54))/100,0)*100,ROUND($E$54*(1.05^(A75-$A$54))/500,0)*500))</x:f>
        <x:v>2800</x:v>
      </x:c>
      <x:c r="F75" s="13" t="n">
        <x:f>ROUND(((250*((2000/250)^((A75-$A$59)/($A$107-$A$59)))*H75)/100000000)+0.000000001,0)*100000000</x:f>
        <x:v>3800000000</x:v>
      </x:c>
      <x:c r="G75" s="9" t="str">
        <x:v>GoldenCactus</x:v>
      </x:c>
      <x:c r="H75" s="13" t="n">
        <x:f>IF(G75="","",VLOOKUP(G75,'Feeds'!$A$2:$E$26,5,FALSE))</x:f>
        <x:v>7500000</x:v>
      </x:c>
      <x:c r="I75" s="17" t="n">
        <x:f>IF(OR(F75="",H75=""),"",ROUND(F75/H75,1))</x:f>
        <x:v>506.7</x:v>
      </x:c>
      <x:c r="J75" s="9" t="s">
        <x:v>132</x:v>
      </x:c>
    </x:row>
    <x:row r="76" ht="15.75" customHeight="1">
      <x:c r="A76" s="11">
        <x:v>75</x:v>
      </x:c>
      <x:c r="B76" s="9" t="s">
        <x:v>132</x:v>
      </x:c>
      <x:c r="C76" s="9" t="str">
        <x:v>Golden Crab</x:v>
      </x:c>
      <x:c r="D76" s="9" t="s">
        <x:v>76</x:v>
      </x:c>
      <x:c r="E76" s="13" t="n">
        <x:f>IF($E$54*(1.05^(A76-$A$54))&lt;2000,ROUND($E$54*(1.05^(A76-$A$54))/50,0)*50,IF($E$54*(1.05^(A76-$A$54))&lt;10000,ROUND($E$54*(1.05^(A76-$A$54))/100,0)*100,ROUND($E$54*(1.05^(A76-$A$54))/500,0)*500))</x:f>
        <x:v>2900</x:v>
      </x:c>
      <x:c r="F76" s="13" t="n">
        <x:f>ROUND(((250*((2000/250)^((A76-$A$59)/($A$107-$A$59)))*H76)/250000000)+0.000000001,0)*250000000</x:f>
        <x:v>9500000000</x:v>
      </x:c>
      <x:c r="G76" s="9" t="str">
        <x:v>GoldenFigTree</x:v>
      </x:c>
      <x:c r="H76" s="13" t="n">
        <x:f>IF(G76="","",VLOOKUP(G76,'Feeds'!$A$2:$E$26,5,FALSE))</x:f>
        <x:v>18000000</x:v>
      </x:c>
      <x:c r="I76" s="17" t="n">
        <x:f>IF(OR(F76="",H76=""),"",ROUND(F76/H76,1))</x:f>
        <x:v>527.8</x:v>
      </x:c>
      <x:c r="J76" s="9" t="s">
        <x:v>133</x:v>
      </x:c>
    </x:row>
    <x:row r="77" ht="15.75" customHeight="1">
      <x:c r="A77" s="11">
        <x:v>76</x:v>
      </x:c>
      <x:c r="B77" s="9" t="s">
        <x:v>133</x:v>
      </x:c>
      <x:c r="C77" s="9" t="str">
        <x:v>Golden Goldfish</x:v>
      </x:c>
      <x:c r="D77" s="9" t="s">
        <x:v>76</x:v>
      </x:c>
      <x:c r="E77" s="13" t="n">
        <x:f>IF($E$54*(1.05^(A77-$A$54))&lt;2000,ROUND($E$54*(1.05^(A77-$A$54))/50,0)*50,IF($E$54*(1.05^(A77-$A$54))&lt;10000,ROUND($E$54*(1.05^(A77-$A$54))/100,0)*100,ROUND($E$54*(1.05^(A77-$A$54))/500,0)*500))</x:f>
        <x:v>3100</x:v>
      </x:c>
      <x:c r="F77" s="13" t="n">
        <x:f>ROUND(((250*((2000/250)^((A77-$A$59)/($A$107-$A$59)))*H77)/250000000)+0.000000001,0)*250000000</x:f>
        <x:v>9750000000</x:v>
      </x:c>
      <x:c r="G77" s="9" t="str">
        <x:v>GoldenFigTree</x:v>
      </x:c>
      <x:c r="H77" s="13" t="n">
        <x:f>IF(G77="","",VLOOKUP(G77,'Feeds'!$A$2:$E$26,5,FALSE))</x:f>
        <x:v>18000000</x:v>
      </x:c>
      <x:c r="I77" s="17" t="n">
        <x:f>IF(OR(F77="",H77=""),"",ROUND(F77/H77,1))</x:f>
        <x:v>541.7</x:v>
      </x:c>
      <x:c r="J77" s="9" t="s">
        <x:v>134</x:v>
      </x:c>
    </x:row>
    <x:row r="78" ht="15.75" customHeight="1">
      <x:c r="A78" s="11">
        <x:v>77</x:v>
      </x:c>
      <x:c r="B78" s="9" t="s">
        <x:v>134</x:v>
      </x:c>
      <x:c r="C78" s="9" t="str">
        <x:v>Golden Seal</x:v>
      </x:c>
      <x:c r="D78" s="9" t="s">
        <x:v>76</x:v>
      </x:c>
      <x:c r="E78" s="13" t="n">
        <x:f>IF($E$54*(1.05^(A78-$A$54))&lt;2000,ROUND($E$54*(1.05^(A78-$A$54))/50,0)*50,IF($E$54*(1.05^(A78-$A$54))&lt;10000,ROUND($E$54*(1.05^(A78-$A$54))/100,0)*100,ROUND($E$54*(1.05^(A78-$A$54))/500,0)*500))</x:f>
        <x:v>3200</x:v>
      </x:c>
      <x:c r="F78" s="13" t="n">
        <x:f>ROUND(((250*((2000/250)^((A78-$A$59)/($A$107-$A$59)))*H78)/250000000)+0.000000001,0)*250000000</x:f>
        <x:v>10250000000</x:v>
      </x:c>
      <x:c r="G78" s="9" t="str">
        <x:v>GoldenFigTree</x:v>
      </x:c>
      <x:c r="H78" s="13" t="n">
        <x:f>IF(G78="","",VLOOKUP(G78,'Feeds'!$A$2:$E$26,5,FALSE))</x:f>
        <x:v>18000000</x:v>
      </x:c>
      <x:c r="I78" s="17" t="n">
        <x:f>IF(OR(F78="",H78=""),"",ROUND(F78/H78,1))</x:f>
        <x:v>569.4</x:v>
      </x:c>
      <x:c r="J78" s="9" t="s">
        <x:v>135</x:v>
      </x:c>
    </x:row>
    <x:row r="79" ht="15.75" customHeight="1">
      <x:c r="A79" s="11">
        <x:v>78</x:v>
      </x:c>
      <x:c r="B79" s="9" t="s">
        <x:v>135</x:v>
      </x:c>
      <x:c r="C79" s="9" t="str">
        <x:v>Golden Swordfish</x:v>
      </x:c>
      <x:c r="D79" s="9" t="s">
        <x:v>76</x:v>
      </x:c>
      <x:c r="E79" s="13" t="n">
        <x:f>IF($E$54*(1.05^(A79-$A$54))&lt;2000,ROUND($E$54*(1.05^(A79-$A$54))/50,0)*50,IF($E$54*(1.05^(A79-$A$54))&lt;10000,ROUND($E$54*(1.05^(A79-$A$54))/100,0)*100,ROUND($E$54*(1.05^(A79-$A$54))/500,0)*500))</x:f>
        <x:v>3400</x:v>
      </x:c>
      <x:c r="F79" s="13" t="n">
        <x:f>ROUND(((250*((2000/250)^((A79-$A$59)/($A$107-$A$59)))*H79)/250000000)+0.000000001,0)*250000000</x:f>
        <x:v>10750000000</x:v>
      </x:c>
      <x:c r="G79" s="9" t="str">
        <x:v>GoldenFigTree</x:v>
      </x:c>
      <x:c r="H79" s="13" t="n">
        <x:f>IF(G79="","",VLOOKUP(G79,'Feeds'!$A$2:$E$26,5,FALSE))</x:f>
        <x:v>18000000</x:v>
      </x:c>
      <x:c r="I79" s="17" t="n">
        <x:f>IF(OR(F79="",H79=""),"",ROUND(F79/H79,1))</x:f>
        <x:v>597.2</x:v>
      </x:c>
      <x:c r="J79" s="9" t="s">
        <x:v>136</x:v>
      </x:c>
    </x:row>
    <x:row r="80" ht="15.75" customHeight="1">
      <x:c r="A80" s="11">
        <x:v>79</x:v>
      </x:c>
      <x:c r="B80" s="9" t="s">
        <x:v>136</x:v>
      </x:c>
      <x:c r="C80" s="9" t="str">
        <x:v>Golden Whale</x:v>
      </x:c>
      <x:c r="D80" s="9" t="s">
        <x:v>76</x:v>
      </x:c>
      <x:c r="E80" s="13" t="n">
        <x:f>IF($E$54*(1.05^(A80-$A$54))&lt;2000,ROUND($E$54*(1.05^(A80-$A$54))/50,0)*50,IF($E$54*(1.05^(A80-$A$54))&lt;10000,ROUND($E$54*(1.05^(A80-$A$54))/100,0)*100,ROUND($E$54*(1.05^(A80-$A$54))/500,0)*500))</x:f>
        <x:v>3600</x:v>
      </x:c>
      <x:c r="F80" s="13" t="n">
        <x:f>ROUND(((250*((2000/250)^((A80-$A$59)/($A$107-$A$59)))*H80)/250000000)+0.000000001,0)*250000000</x:f>
        <x:v>11250000000</x:v>
      </x:c>
      <x:c r="G80" s="9" t="str">
        <x:v>GoldenFigTree</x:v>
      </x:c>
      <x:c r="H80" s="13" t="n">
        <x:f>IF(G80="","",VLOOKUP(G80,'Feeds'!$A$2:$E$26,5,FALSE))</x:f>
        <x:v>18000000</x:v>
      </x:c>
      <x:c r="I80" s="17" t="n">
        <x:f>IF(OR(F80="",H80=""),"",ROUND(F80/H80,1))</x:f>
        <x:v>625</x:v>
      </x:c>
      <x:c r="J80" s="9" t="s">
        <x:v>137</x:v>
      </x:c>
    </x:row>
    <x:row r="81" ht="15.75" customHeight="1">
      <x:c r="A81" s="11">
        <x:v>80</x:v>
      </x:c>
      <x:c r="B81" s="9" t="s">
        <x:v>137</x:v>
      </x:c>
      <x:c r="C81" s="9" t="str">
        <x:v>Golden Shark</x:v>
      </x:c>
      <x:c r="D81" s="9" t="s">
        <x:v>76</x:v>
      </x:c>
      <x:c r="E81" s="13" t="n">
        <x:f>IF($E$54*(1.05^(A81-$A$54))&lt;2000,ROUND($E$54*(1.05^(A81-$A$54))/50,0)*50,IF($E$54*(1.05^(A81-$A$54))&lt;10000,ROUND($E$54*(1.05^(A81-$A$54))/100,0)*100,ROUND($E$54*(1.05^(A81-$A$54))/500,0)*500))</x:f>
        <x:v>3700</x:v>
      </x:c>
      <x:c r="F81" s="13" t="n">
        <x:f>ROUND(((250*((2000/250)^((A81-$A$59)/($A$107-$A$59)))*H81)/250000000)+0.000000001,0)*250000000</x:f>
        <x:v>11750000000</x:v>
      </x:c>
      <x:c r="G81" s="9" t="str">
        <x:v>GoldenFigTree</x:v>
      </x:c>
      <x:c r="H81" s="13" t="n">
        <x:f>IF(G81="","",VLOOKUP(G81,'Feeds'!$A$2:$E$26,5,FALSE))</x:f>
        <x:v>18000000</x:v>
      </x:c>
      <x:c r="I81" s="17" t="n">
        <x:f>IF(OR(F81="",H81=""),"",ROUND(F81/H81,1))</x:f>
        <x:v>652.8</x:v>
      </x:c>
      <x:c r="J81" s="9" t="s">
        <x:v>138</x:v>
      </x:c>
    </x:row>
    <x:row r="82" ht="15.75" customHeight="1">
      <x:c r="A82" s="11">
        <x:v>81</x:v>
      </x:c>
      <x:c r="B82" s="9" t="s">
        <x:v>138</x:v>
      </x:c>
      <x:c r="C82" s="9" t="str">
        <x:v>Golden Ostrich</x:v>
      </x:c>
      <x:c r="D82" s="9" t="s">
        <x:v>76</x:v>
      </x:c>
      <x:c r="E82" s="13" t="n">
        <x:f>IF($E$54*(1.05^(A82-$A$54))&lt;2000,ROUND($E$54*(1.05^(A82-$A$54))/50,0)*50,IF($E$54*(1.05^(A82-$A$54))&lt;10000,ROUND($E$54*(1.05^(A82-$A$54))/100,0)*100,ROUND($E$54*(1.05^(A82-$A$54))/500,0)*500))</x:f>
        <x:v>3900</x:v>
      </x:c>
      <x:c r="F82" s="13" t="n">
        <x:f>ROUND(((250*((2000/250)^((A82-$A$59)/($A$107-$A$59)))*H82)/250000000)+0.000000001,0)*250000000</x:f>
        <x:v>12250000000</x:v>
      </x:c>
      <x:c r="G82" s="9" t="str">
        <x:v>GoldenFigTree</x:v>
      </x:c>
      <x:c r="H82" s="13" t="n">
        <x:f>IF(G82="","",VLOOKUP(G82,'Feeds'!$A$2:$E$26,5,FALSE))</x:f>
        <x:v>18000000</x:v>
      </x:c>
      <x:c r="I82" s="17" t="n">
        <x:f>IF(OR(F82="",H82=""),"",ROUND(F82/H82,1))</x:f>
        <x:v>680.6</x:v>
      </x:c>
      <x:c r="J82" s="9" t="s">
        <x:v>139</x:v>
      </x:c>
    </x:row>
    <x:row r="83" ht="15.75" customHeight="1">
      <x:c r="A83" s="11">
        <x:v>82</x:v>
      </x:c>
      <x:c r="B83" s="9" t="s">
        <x:v>139</x:v>
      </x:c>
      <x:c r="C83" s="9" t="str">
        <x:v>Golden Kangaroo</x:v>
      </x:c>
      <x:c r="D83" s="9" t="s">
        <x:v>76</x:v>
      </x:c>
      <x:c r="E83" s="13" t="n">
        <x:f>IF($E$54*(1.05^(A83-$A$54))&lt;2000,ROUND($E$54*(1.05^(A83-$A$54))/50,0)*50,IF($E$54*(1.05^(A83-$A$54))&lt;10000,ROUND($E$54*(1.05^(A83-$A$54))/100,0)*100,ROUND($E$54*(1.05^(A83-$A$54))/500,0)*500))</x:f>
        <x:v>4100</x:v>
      </x:c>
      <x:c r="F83" s="13" t="n">
        <x:f>ROUND(((250*((2000/250)^((A83-$A$59)/($A$107-$A$59)))*H83)/250000000)+0.000000001,0)*250000000</x:f>
        <x:v>12750000000</x:v>
      </x:c>
      <x:c r="G83" s="9" t="str">
        <x:v>GoldenFigTree</x:v>
      </x:c>
      <x:c r="H83" s="13" t="n">
        <x:f>IF(G83="","",VLOOKUP(G83,'Feeds'!$A$2:$E$26,5,FALSE))</x:f>
        <x:v>18000000</x:v>
      </x:c>
      <x:c r="I83" s="17" t="n">
        <x:f>IF(OR(F83="",H83=""),"",ROUND(F83/H83,1))</x:f>
        <x:v>708.3</x:v>
      </x:c>
      <x:c r="J83" s="9" t="s">
        <x:v>140</x:v>
      </x:c>
    </x:row>
    <x:row r="84" ht="15.75" customHeight="1">
      <x:c r="A84" s="11">
        <x:v>83</x:v>
      </x:c>
      <x:c r="B84" s="9" t="s">
        <x:v>140</x:v>
      </x:c>
      <x:c r="C84" s="9" t="str">
        <x:v>Golden Zebra</x:v>
      </x:c>
      <x:c r="D84" s="9" t="s">
        <x:v>76</x:v>
      </x:c>
      <x:c r="E84" s="13" t="n">
        <x:f>IF($E$54*(1.05^(A84-$A$54))&lt;2000,ROUND($E$54*(1.05^(A84-$A$54))/50,0)*50,IF($E$54*(1.05^(A84-$A$54))&lt;10000,ROUND($E$54*(1.05^(A84-$A$54))/100,0)*100,ROUND($E$54*(1.05^(A84-$A$54))/500,0)*500))</x:f>
        <x:v>4300</x:v>
      </x:c>
      <x:c r="F84" s="13" t="n">
        <x:f>ROUND(((250*((2000/250)^((A84-$A$59)/($A$107-$A$59)))*H84)/250000000)+0.000000001,0)*250000000</x:f>
        <x:v>13250000000</x:v>
      </x:c>
      <x:c r="G84" s="9" t="str">
        <x:v>GoldenFigTree</x:v>
      </x:c>
      <x:c r="H84" s="13" t="n">
        <x:f>IF(G84="","",VLOOKUP(G84,'Feeds'!$A$2:$E$26,5,FALSE))</x:f>
        <x:v>18000000</x:v>
      </x:c>
      <x:c r="I84" s="17" t="n">
        <x:f>IF(OR(F84="",H84=""),"",ROUND(F84/H84,1))</x:f>
        <x:v>736.1</x:v>
      </x:c>
      <x:c r="J84" s="9" t="s">
        <x:v>141</x:v>
      </x:c>
    </x:row>
    <x:row r="85" ht="15.75" customHeight="1">
      <x:c r="A85" s="11">
        <x:v>84</x:v>
      </x:c>
      <x:c r="B85" s="9" t="s">
        <x:v>141</x:v>
      </x:c>
      <x:c r="C85" s="9" t="str">
        <x:v>Golden Giraffe</x:v>
      </x:c>
      <x:c r="D85" s="9" t="s">
        <x:v>76</x:v>
      </x:c>
      <x:c r="E85" s="13" t="n">
        <x:f>IF($E$54*(1.05^(A85-$A$54))&lt;2000,ROUND($E$54*(1.05^(A85-$A$54))/50,0)*50,IF($E$54*(1.05^(A85-$A$54))&lt;10000,ROUND($E$54*(1.05^(A85-$A$54))/100,0)*100,ROUND($E$54*(1.05^(A85-$A$54))/500,0)*500))</x:f>
        <x:v>4500</x:v>
      </x:c>
      <x:c r="F85" s="13" t="n">
        <x:f>ROUND(((250*((2000/250)^((A85-$A$59)/($A$107-$A$59)))*H85)/250000000)+0.000000001,0)*250000000</x:f>
        <x:v>14000000000</x:v>
      </x:c>
      <x:c r="G85" s="9" t="str">
        <x:v>GoldenFigTree</x:v>
      </x:c>
      <x:c r="H85" s="13" t="n">
        <x:f>IF(G85="","",VLOOKUP(G85,'Feeds'!$A$2:$E$26,5,FALSE))</x:f>
        <x:v>18000000</x:v>
      </x:c>
      <x:c r="I85" s="17" t="n">
        <x:f>IF(OR(F85="",H85=""),"",ROUND(F85/H85,1))</x:f>
        <x:v>777.8</x:v>
      </x:c>
      <x:c r="J85" s="9" t="s">
        <x:v>142</x:v>
      </x:c>
    </x:row>
    <x:row r="86" ht="15.75" customHeight="1">
      <x:c r="A86" s="11">
        <x:v>85</x:v>
      </x:c>
      <x:c r="B86" s="9" t="s">
        <x:v>142</x:v>
      </x:c>
      <x:c r="C86" s="9" t="str">
        <x:v>Golden Elephant</x:v>
      </x:c>
      <x:c r="D86" s="9" t="s">
        <x:v>76</x:v>
      </x:c>
      <x:c r="E86" s="13" t="n">
        <x:f>IF($E$54*(1.05^(A86-$A$54))&lt;2000,ROUND($E$54*(1.05^(A86-$A$54))/50,0)*50,IF($E$54*(1.05^(A86-$A$54))&lt;10000,ROUND($E$54*(1.05^(A86-$A$54))/100,0)*100,ROUND($E$54*(1.05^(A86-$A$54))/500,0)*500))</x:f>
        <x:v>4800</x:v>
      </x:c>
      <x:c r="F86" s="13" t="n">
        <x:f>ROUND(((250*((2000/250)^((A86-$A$59)/($A$107-$A$59)))*H86)/250000000)+0.000000001,0)*250000000</x:f>
        <x:v>14500000000</x:v>
      </x:c>
      <x:c r="G86" s="9" t="str">
        <x:v>GoldenFigTree</x:v>
      </x:c>
      <x:c r="H86" s="13" t="n">
        <x:f>IF(G86="","",VLOOKUP(G86,'Feeds'!$A$2:$E$26,5,FALSE))</x:f>
        <x:v>18000000</x:v>
      </x:c>
      <x:c r="I86" s="17" t="n">
        <x:f>IF(OR(F86="",H86=""),"",ROUND(F86/H86,1))</x:f>
        <x:v>805.6</x:v>
      </x:c>
      <x:c r="J86" s="9" t="s">
        <x:v>143</x:v>
      </x:c>
    </x:row>
    <x:row r="87" ht="15.75" customHeight="1">
      <x:c r="A87" s="11">
        <x:v>86</x:v>
      </x:c>
      <x:c r="B87" s="9" t="s">
        <x:v>143</x:v>
      </x:c>
      <x:c r="C87" s="9" t="str">
        <x:v>Golden Bear</x:v>
      </x:c>
      <x:c r="D87" s="9" t="s">
        <x:v>76</x:v>
      </x:c>
      <x:c r="E87" s="13" t="n">
        <x:f>IF($E$54*(1.05^(A87-$A$54))&lt;2000,ROUND($E$54*(1.05^(A87-$A$54))/50,0)*50,IF($E$54*(1.05^(A87-$A$54))&lt;10000,ROUND($E$54*(1.05^(A87-$A$54))/100,0)*100,ROUND($E$54*(1.05^(A87-$A$54))/500,0)*500))</x:f>
        <x:v>5000</x:v>
      </x:c>
      <x:c r="F87" s="13" t="n">
        <x:f>ROUND(((250*((2000/250)^((A87-$A$59)/($A$107-$A$59)))*H87)/1000000000)+0.000000001,0)*1000000000</x:f>
        <x:v>38000000000</x:v>
      </x:c>
      <x:c r="G87" s="9" t="str">
        <x:v>GoldenDragonfruitTree</x:v>
      </x:c>
      <x:c r="H87" s="13" t="n">
        <x:f>IF(G87="","",VLOOKUP(G87,'Feeds'!$A$2:$E$26,5,FALSE))</x:f>
        <x:v>45000000</x:v>
      </x:c>
      <x:c r="I87" s="17" t="n">
        <x:f>IF(OR(F87="",H87=""),"",ROUND(F87/H87,1))</x:f>
        <x:v>844.4</x:v>
      </x:c>
      <x:c r="J87" s="9" t="s">
        <x:v>144</x:v>
      </x:c>
    </x:row>
    <x:row r="88" ht="15.75" customHeight="1">
      <x:c r="A88" s="11">
        <x:v>87</x:v>
      </x:c>
      <x:c r="B88" s="9" t="s">
        <x:v>144</x:v>
      </x:c>
      <x:c r="C88" s="9" t="str">
        <x:v>Golden Polar Bear</x:v>
      </x:c>
      <x:c r="D88" s="9" t="s">
        <x:v>76</x:v>
      </x:c>
      <x:c r="E88" s="13" t="n">
        <x:f>IF($E$54*(1.05^(A88-$A$54))&lt;2000,ROUND($E$54*(1.05^(A88-$A$54))/50,0)*50,IF($E$54*(1.05^(A88-$A$54))&lt;10000,ROUND($E$54*(1.05^(A88-$A$54))/100,0)*100,ROUND($E$54*(1.05^(A88-$A$54))/500,0)*500))</x:f>
        <x:v>5300</x:v>
      </x:c>
      <x:c r="F88" s="13" t="n">
        <x:f>ROUND(((250*((2000/250)^((A88-$A$59)/($A$107-$A$59)))*H88)/1000000000)+0.000000001,0)*1000000000</x:f>
        <x:v>40000000000</x:v>
      </x:c>
      <x:c r="G88" s="9" t="str">
        <x:v>GoldenDragonfruitTree</x:v>
      </x:c>
      <x:c r="H88" s="13" t="n">
        <x:f>IF(G88="","",VLOOKUP(G88,'Feeds'!$A$2:$E$26,5,FALSE))</x:f>
        <x:v>45000000</x:v>
      </x:c>
      <x:c r="I88" s="17" t="n">
        <x:f>IF(OR(F88="",H88=""),"",ROUND(F88/H88,1))</x:f>
        <x:v>888.9</x:v>
      </x:c>
      <x:c r="J88" s="9" t="s">
        <x:v>145</x:v>
      </x:c>
    </x:row>
    <x:row r="89" ht="15.75" customHeight="1">
      <x:c r="A89" s="11">
        <x:v>88</x:v>
      </x:c>
      <x:c r="B89" s="9" t="s">
        <x:v>145</x:v>
      </x:c>
      <x:c r="C89" s="9" t="str">
        <x:v>Golden Gorilla</x:v>
      </x:c>
      <x:c r="D89" s="9" t="s">
        <x:v>76</x:v>
      </x:c>
      <x:c r="E89" s="13" t="n">
        <x:f>IF($E$54*(1.05^(A89-$A$54))&lt;2000,ROUND($E$54*(1.05^(A89-$A$54))/50,0)*50,IF($E$54*(1.05^(A89-$A$54))&lt;10000,ROUND($E$54*(1.05^(A89-$A$54))/100,0)*100,ROUND($E$54*(1.05^(A89-$A$54))/500,0)*500))</x:f>
        <x:v>5500</x:v>
      </x:c>
      <x:c r="F89" s="13" t="n">
        <x:f>ROUND(((250*((2000/250)^((A89-$A$59)/($A$107-$A$59)))*H89)/1000000000)+0.000000001,0)*1000000000</x:f>
        <x:v>41000000000</x:v>
      </x:c>
      <x:c r="G89" s="9" t="str">
        <x:v>GoldenDragonfruitTree</x:v>
      </x:c>
      <x:c r="H89" s="13" t="n">
        <x:f>IF(G89="","",VLOOKUP(G89,'Feeds'!$A$2:$E$26,5,FALSE))</x:f>
        <x:v>45000000</x:v>
      </x:c>
      <x:c r="I89" s="17" t="n">
        <x:f>IF(OR(F89="",H89=""),"",ROUND(F89/H89,1))</x:f>
        <x:v>911.1</x:v>
      </x:c>
      <x:c r="J89" s="9" t="s">
        <x:v>146</x:v>
      </x:c>
    </x:row>
    <x:row r="90" ht="15.75" customHeight="1">
      <x:c r="A90" s="11">
        <x:v>89</x:v>
      </x:c>
      <x:c r="B90" s="9" t="s">
        <x:v>146</x:v>
      </x:c>
      <x:c r="C90" s="9" t="str">
        <x:v>Golden Wolf</x:v>
      </x:c>
      <x:c r="D90" s="9" t="s">
        <x:v>76</x:v>
      </x:c>
      <x:c r="E90" s="13" t="n">
        <x:f>IF($E$54*(1.05^(A90-$A$54))&lt;2000,ROUND($E$54*(1.05^(A90-$A$54))/50,0)*50,IF($E$54*(1.05^(A90-$A$54))&lt;10000,ROUND($E$54*(1.05^(A90-$A$54))/100,0)*100,ROUND($E$54*(1.05^(A90-$A$54))/500,0)*500))</x:f>
        <x:v>5800</x:v>
      </x:c>
      <x:c r="F90" s="13" t="n">
        <x:f>ROUND(((250*((2000/250)^((A90-$A$59)/($A$107-$A$59)))*H90)/1000000000)+0.000000001,0)*1000000000</x:f>
        <x:v>43000000000</x:v>
      </x:c>
      <x:c r="G90" s="9" t="str">
        <x:v>GoldenDragonfruitTree</x:v>
      </x:c>
      <x:c r="H90" s="13" t="n">
        <x:f>IF(G90="","",VLOOKUP(G90,'Feeds'!$A$2:$E$26,5,FALSE))</x:f>
        <x:v>45000000</x:v>
      </x:c>
      <x:c r="I90" s="17" t="n">
        <x:f>IF(OR(F90="",H90=""),"",ROUND(F90/H90,1))</x:f>
        <x:v>955.6</x:v>
      </x:c>
      <x:c r="J90" s="9" t="s">
        <x:v>147</x:v>
      </x:c>
    </x:row>
    <x:row r="91" ht="15.75" customHeight="1">
      <x:c r="A91" s="11">
        <x:v>90</x:v>
      </x:c>
      <x:c r="B91" s="9" t="s">
        <x:v>147</x:v>
      </x:c>
      <x:c r="C91" s="9" t="str">
        <x:v>Golden Lion</x:v>
      </x:c>
      <x:c r="D91" s="9" t="s">
        <x:v>93</x:v>
      </x:c>
      <x:c r="E91" s="13" t="n">
        <x:f>IF($E$54*(1.05^(A91-$A$54))&lt;2000,ROUND($E$54*(1.05^(A91-$A$54))/50,0)*50,IF($E$54*(1.05^(A91-$A$54))&lt;10000,ROUND($E$54*(1.05^(A91-$A$54))/100,0)*100,ROUND($E$54*(1.05^(A91-$A$54))/500,0)*500))</x:f>
        <x:v>6100</x:v>
      </x:c>
      <x:c r="F91" s="13" t="n">
        <x:f>ROUND(((250*((2000/250)^((A91-$A$59)/($A$107-$A$59)))*H91)/1000000000)+0.000000001,0)*1000000000</x:f>
        <x:v>45000000000</x:v>
      </x:c>
      <x:c r="G91" s="9" t="str">
        <x:v>GoldenDragonfruitTree</x:v>
      </x:c>
      <x:c r="H91" s="13" t="n">
        <x:f>IF(G91="","",VLOOKUP(G91,'Feeds'!$A$2:$E$26,5,FALSE))</x:f>
        <x:v>45000000</x:v>
      </x:c>
      <x:c r="I91" s="17" t="n">
        <x:f>IF(OR(F91="",H91=""),"",ROUND(F91/H91,1))</x:f>
        <x:v>1000</x:v>
      </x:c>
      <x:c r="J91" s="9" t="s">
        <x:v>148</x:v>
      </x:c>
    </x:row>
    <x:row r="92" ht="15.75" customHeight="1">
      <x:c r="A92" s="11">
        <x:v>91</x:v>
      </x:c>
      <x:c r="B92" s="9" t="s">
        <x:v>148</x:v>
      </x:c>
      <x:c r="C92" s="9" t="str">
        <x:v>Golden Tiger</x:v>
      </x:c>
      <x:c r="D92" s="9" t="s">
        <x:v>93</x:v>
      </x:c>
      <x:c r="E92" s="13" t="n">
        <x:f>IF($E$54*(1.05^(A92-$A$54))&lt;2000,ROUND($E$54*(1.05^(A92-$A$54))/50,0)*50,IF($E$54*(1.05^(A92-$A$54))&lt;10000,ROUND($E$54*(1.05^(A92-$A$54))/100,0)*100,ROUND($E$54*(1.05^(A92-$A$54))/500,0)*500))</x:f>
        <x:v>6400</x:v>
      </x:c>
      <x:c r="F92" s="13" t="n">
        <x:f>ROUND(((250*((2000/250)^((A92-$A$59)/($A$107-$A$59)))*H92)/1000000000)+0.000000001,0)*1000000000</x:f>
        <x:v>47000000000</x:v>
      </x:c>
      <x:c r="G92" s="9" t="str">
        <x:v>GoldenDragonfruitTree</x:v>
      </x:c>
      <x:c r="H92" s="13" t="n">
        <x:f>IF(G92="","",VLOOKUP(G92,'Feeds'!$A$2:$E$26,5,FALSE))</x:f>
        <x:v>45000000</x:v>
      </x:c>
      <x:c r="I92" s="17" t="n">
        <x:f>IF(OR(F92="",H92=""),"",ROUND(F92/H92,1))</x:f>
        <x:v>1044.4</x:v>
      </x:c>
      <x:c r="J92" s="9" t="s">
        <x:v>149</x:v>
      </x:c>
    </x:row>
    <x:row r="93" ht="15.75" customHeight="1">
      <x:c r="A93" s="11">
        <x:v>92</x:v>
      </x:c>
      <x:c r="B93" s="9" t="s">
        <x:v>149</x:v>
      </x:c>
      <x:c r="C93" s="9" t="str">
        <x:v>Golden Crocodile</x:v>
      </x:c>
      <x:c r="D93" s="9" t="s">
        <x:v>93</x:v>
      </x:c>
      <x:c r="E93" s="13" t="n">
        <x:f>IF($E$54*(1.05^(A93-$A$54))&lt;2000,ROUND($E$54*(1.05^(A93-$A$54))/50,0)*50,IF($E$54*(1.05^(A93-$A$54))&lt;10000,ROUND($E$54*(1.05^(A93-$A$54))/100,0)*100,ROUND($E$54*(1.05^(A93-$A$54))/500,0)*500))</x:f>
        <x:v>6700</x:v>
      </x:c>
      <x:c r="F93" s="13" t="n">
        <x:f>ROUND((250*((2000/250)^((A93-$A$59)/($A$107-$A$59)))*H93)/10000000000,0)*10000000000</x:f>
        <x:v>50000000000</x:v>
      </x:c>
      <x:c r="G93" s="9" t="str">
        <x:v>GoldenDragonfruitTree</x:v>
      </x:c>
      <x:c r="H93" s="13" t="n">
        <x:f>IF(G93="","",VLOOKUP(G93,'Feeds'!$A$2:$E$26,5,FALSE))</x:f>
        <x:v>45000000</x:v>
      </x:c>
      <x:c r="I93" s="17" t="n">
        <x:f>IF(OR(F93="",H93=""),"",ROUND(F93/H93,1))</x:f>
        <x:v>1111.1</x:v>
      </x:c>
      <x:c r="J93" s="9" t="s">
        <x:v>150</x:v>
      </x:c>
    </x:row>
    <x:row r="94" ht="15.75" customHeight="1">
      <x:c r="A94" s="11">
        <x:v>93</x:v>
      </x:c>
      <x:c r="B94" s="9" t="s">
        <x:v>150</x:v>
      </x:c>
      <x:c r="C94" s="9" t="str">
        <x:v>Golden Snake</x:v>
      </x:c>
      <x:c r="D94" s="9" t="s">
        <x:v>93</x:v>
      </x:c>
      <x:c r="E94" s="13" t="n">
        <x:f>IF($E$54*(1.05^(A94-$A$54))&lt;2000,ROUND($E$54*(1.05^(A94-$A$54))/50,0)*50,IF($E$54*(1.05^(A94-$A$54))&lt;10000,ROUND($E$54*(1.05^(A94-$A$54))/100,0)*100,ROUND($E$54*(1.05^(A94-$A$54))/500,0)*500))</x:f>
        <x:v>7000</x:v>
      </x:c>
      <x:c r="F94" s="13" t="n">
        <x:f>ROUND(((250*((2000/250)^((A94-$A$59)/($A$107-$A$59)))*H94)/1000000000)+0.000000001,0)*1000000000</x:f>
        <x:v>51000000000</x:v>
      </x:c>
      <x:c r="G94" s="9" t="str">
        <x:v>GoldenDragonfruitTree</x:v>
      </x:c>
      <x:c r="H94" s="13" t="n">
        <x:f>IF(G94="","",VLOOKUP(G94,'Feeds'!$A$2:$E$26,5,FALSE))</x:f>
        <x:v>45000000</x:v>
      </x:c>
      <x:c r="I94" s="17" t="n">
        <x:f>IF(OR(F94="",H94=""),"",ROUND(F94/H94,1))</x:f>
        <x:v>1133.3</x:v>
      </x:c>
      <x:c r="J94" s="9" t="s">
        <x:v>151</x:v>
      </x:c>
    </x:row>
    <x:row r="95" ht="15.75" customHeight="1">
      <x:c r="A95" s="11">
        <x:v>94</x:v>
      </x:c>
      <x:c r="B95" s="9" t="s">
        <x:v>151</x:v>
      </x:c>
      <x:c r="C95" s="9" t="str">
        <x:v>Golden Cobra</x:v>
      </x:c>
      <x:c r="D95" s="9" t="s">
        <x:v>93</x:v>
      </x:c>
      <x:c r="E95" s="13" t="n">
        <x:f>IF($E$54*(1.05^(A95-$A$54))&lt;2000,ROUND($E$54*(1.05^(A95-$A$54))/50,0)*50,IF($E$54*(1.05^(A95-$A$54))&lt;10000,ROUND($E$54*(1.05^(A95-$A$54))/100,0)*100,ROUND($E$54*(1.05^(A95-$A$54))/500,0)*500))</x:f>
        <x:v>7400</x:v>
      </x:c>
      <x:c r="F95" s="13" t="n">
        <x:f>ROUND(((250*((2000/250)^((A95-$A$59)/($A$107-$A$59)))*H95)/1000000000)+0.000000001,0)*1000000000</x:f>
        <x:v>54000000000</x:v>
      </x:c>
      <x:c r="G95" s="9" t="str">
        <x:v>GoldenDragonfruitTree</x:v>
      </x:c>
      <x:c r="H95" s="13" t="n">
        <x:f>IF(G95="","",VLOOKUP(G95,'Feeds'!$A$2:$E$26,5,FALSE))</x:f>
        <x:v>45000000</x:v>
      </x:c>
      <x:c r="I95" s="17" t="n">
        <x:f>IF(OR(F95="",H95=""),"",ROUND(F95/H95,1))</x:f>
        <x:v>1200</x:v>
      </x:c>
      <x:c r="J95" s="9" t="s">
        <x:v>152</x:v>
      </x:c>
    </x:row>
    <x:row r="96" ht="15.75" customHeight="1">
      <x:c r="A96" s="11">
        <x:v>95</x:v>
      </x:c>
      <x:c r="B96" s="9" t="s">
        <x:v>152</x:v>
      </x:c>
      <x:c r="C96" s="9" t="str">
        <x:v>Golden Hydra</x:v>
      </x:c>
      <x:c r="D96" s="9" t="s">
        <x:v>93</x:v>
      </x:c>
      <x:c r="E96" s="13" t="n">
        <x:f>IF($E$54*(1.05^(A96-$A$54))&lt;2000,ROUND($E$54*(1.05^(A96-$A$54))/50,0)*50,IF($E$54*(1.05^(A96-$A$54))&lt;10000,ROUND($E$54*(1.05^(A96-$A$54))/100,0)*100,ROUND($E$54*(1.05^(A96-$A$54))/500,0)*500))</x:f>
        <x:v>7800</x:v>
      </x:c>
      <x:c r="F96" s="13" t="n">
        <x:f>ROUND(((250*((2000/250)^((A96-$A$59)/($A$107-$A$59)))*H96)/1000000000)+0.000000001,0)*1000000000</x:f>
        <x:v>56000000000</x:v>
      </x:c>
      <x:c r="G96" s="9" t="str">
        <x:v>GoldenDragonfruitTree</x:v>
      </x:c>
      <x:c r="H96" s="13" t="n">
        <x:f>IF(G96="","",VLOOKUP(G96,'Feeds'!$A$2:$E$26,5,FALSE))</x:f>
        <x:v>45000000</x:v>
      </x:c>
      <x:c r="I96" s="17" t="n">
        <x:f>IF(OR(F96="",H96=""),"",ROUND(F96/H96,1))</x:f>
        <x:v>1244.4</x:v>
      </x:c>
      <x:c r="J96" s="9" t="s">
        <x:v>153</x:v>
      </x:c>
    </x:row>
    <x:row r="97" ht="15.75" customHeight="1">
      <x:c r="A97" s="11">
        <x:v>96</x:v>
      </x:c>
      <x:c r="B97" s="9" t="s">
        <x:v>153</x:v>
      </x:c>
      <x:c r="C97" s="9" t="str">
        <x:v>Golden Ankylosaurus</x:v>
      </x:c>
      <x:c r="D97" s="9" t="s">
        <x:v>93</x:v>
      </x:c>
      <x:c r="E97" s="13" t="n">
        <x:f>IF($E$54*(1.05^(A97-$A$54))&lt;2000,ROUND($E$54*(1.05^(A97-$A$54))/50,0)*50,IF($E$54*(1.05^(A97-$A$54))&lt;10000,ROUND($E$54*(1.05^(A97-$A$54))/100,0)*100,ROUND($E$54*(1.05^(A97-$A$54))/500,0)*500))</x:f>
        <x:v>8100</x:v>
      </x:c>
      <x:c r="F97" s="13" t="n">
        <x:f>ROUND(((250*((2000/250)^((A97-$A$59)/($A$107-$A$59)))*H97)/5000000000)+0.000000001,0)*5000000000</x:f>
        <x:v>155000000000</x:v>
      </x:c>
      <x:c r="G97" s="9" t="str">
        <x:v>GoldshroomPatch</x:v>
      </x:c>
      <x:c r="H97" s="13" t="n">
        <x:f>IF(G97="","",VLOOKUP(G97,'Feeds'!$A$2:$E$26,5,FALSE))</x:f>
        <x:v>120000000</x:v>
      </x:c>
      <x:c r="I97" s="17" t="n">
        <x:f>IF(OR(F97="",H97=""),"",ROUND(F97/H97,1))</x:f>
        <x:v>1291.7</x:v>
      </x:c>
      <x:c r="J97" s="9" t="s">
        <x:v>154</x:v>
      </x:c>
    </x:row>
    <x:row r="98" ht="15.75" customHeight="1">
      <x:c r="A98" s="11">
        <x:v>97</x:v>
      </x:c>
      <x:c r="B98" s="9" t="s">
        <x:v>154</x:v>
      </x:c>
      <x:c r="C98" s="9" t="str">
        <x:v>Golden Triceratops</x:v>
      </x:c>
      <x:c r="D98" s="9" t="s">
        <x:v>93</x:v>
      </x:c>
      <x:c r="E98" s="13" t="n">
        <x:f>IF($E$54*(1.05^(A98-$A$54))&lt;2000,ROUND($E$54*(1.05^(A98-$A$54))/50,0)*50,IF($E$54*(1.05^(A98-$A$54))&lt;10000,ROUND($E$54*(1.05^(A98-$A$54))/100,0)*100,ROUND($E$54*(1.05^(A98-$A$54))/500,0)*500))</x:f>
        <x:v>8600</x:v>
      </x:c>
      <x:c r="F98" s="13" t="n">
        <x:f>ROUND(((250*((2000/250)^((A98-$A$59)/($A$107-$A$59)))*H98)/5000000000)+0.000000001,0)*5000000000</x:f>
        <x:v>165000000000</x:v>
      </x:c>
      <x:c r="G98" s="9" t="str">
        <x:v>GoldshroomPatch</x:v>
      </x:c>
      <x:c r="H98" s="13" t="n">
        <x:f>IF(G98="","",VLOOKUP(G98,'Feeds'!$A$2:$E$26,5,FALSE))</x:f>
        <x:v>120000000</x:v>
      </x:c>
      <x:c r="I98" s="17" t="n">
        <x:f>IF(OR(F98="",H98=""),"",ROUND(F98/H98,1))</x:f>
        <x:v>1375</x:v>
      </x:c>
      <x:c r="J98" s="9" t="s">
        <x:v>155</x:v>
      </x:c>
    </x:row>
    <x:row r="99" ht="15.75" customHeight="1">
      <x:c r="A99" s="11">
        <x:v>98</x:v>
      </x:c>
      <x:c r="B99" s="9" t="s">
        <x:v>155</x:v>
      </x:c>
      <x:c r="C99" s="9" t="str">
        <x:v>Golden Gallimimus</x:v>
      </x:c>
      <x:c r="D99" s="9" t="s">
        <x:v>93</x:v>
      </x:c>
      <x:c r="E99" s="13" t="n">
        <x:f>IF($E$54*(1.05^(A99-$A$54))&lt;2000,ROUND($E$54*(1.05^(A99-$A$54))/50,0)*50,IF($E$54*(1.05^(A99-$A$54))&lt;10000,ROUND($E$54*(1.05^(A99-$A$54))/100,0)*100,ROUND($E$54*(1.05^(A99-$A$54))/500,0)*500))</x:f>
        <x:v>9000</x:v>
      </x:c>
      <x:c r="F99" s="13" t="n">
        <x:f>ROUND(((250*((2000/250)^((A99-$A$59)/($A$107-$A$59)))*H99)/5000000000)+0.000000001,0)*5000000000</x:f>
        <x:v>170000000000</x:v>
      </x:c>
      <x:c r="G99" s="9" t="str">
        <x:v>GoldshroomPatch</x:v>
      </x:c>
      <x:c r="H99" s="13" t="n">
        <x:f>IF(G99="","",VLOOKUP(G99,'Feeds'!$A$2:$E$26,5,FALSE))</x:f>
        <x:v>120000000</x:v>
      </x:c>
      <x:c r="I99" s="17" t="n">
        <x:f>IF(OR(F99="",H99=""),"",ROUND(F99/H99,1))</x:f>
        <x:v>1416.7</x:v>
      </x:c>
      <x:c r="J99" s="9" t="s">
        <x:v>156</x:v>
      </x:c>
    </x:row>
    <x:row r="100" ht="15.75" customHeight="1">
      <x:c r="A100" s="11">
        <x:v>99</x:v>
      </x:c>
      <x:c r="B100" s="9" t="s">
        <x:v>156</x:v>
      </x:c>
      <x:c r="C100" s="9" t="str">
        <x:v>Golden Velociraptor</x:v>
      </x:c>
      <x:c r="D100" s="9" t="s">
        <x:v>93</x:v>
      </x:c>
      <x:c r="E100" s="13" t="n">
        <x:f>IF($E$54*(1.05^(A100-$A$54))&lt;2000,ROUND($E$54*(1.05^(A100-$A$54))/50,0)*50,IF($E$54*(1.05^(A100-$A$54))&lt;10000,ROUND($E$54*(1.05^(A100-$A$54))/100,0)*100,ROUND($E$54*(1.05^(A100-$A$54))/500,0)*500))</x:f>
        <x:v>9400</x:v>
      </x:c>
      <x:c r="F100" s="13" t="n">
        <x:f>ROUND(((250*((2000/250)^((A100-$A$59)/($A$107-$A$59)))*H100)/5000000000)+0.000000001,0)*5000000000</x:f>
        <x:v>175000000000</x:v>
      </x:c>
      <x:c r="G100" s="9" t="str">
        <x:v>GoldshroomPatch</x:v>
      </x:c>
      <x:c r="H100" s="13" t="n">
        <x:f>IF(G100="","",VLOOKUP(G100,'Feeds'!$A$2:$E$26,5,FALSE))</x:f>
        <x:v>120000000</x:v>
      </x:c>
      <x:c r="I100" s="17" t="n">
        <x:f>IF(OR(F100="",H100=""),"",ROUND(F100/H100,1))</x:f>
        <x:v>1458.3</x:v>
      </x:c>
      <x:c r="J100" s="9" t="s">
        <x:v>157</x:v>
      </x:c>
    </x:row>
    <x:row r="101" ht="15.75" customHeight="1">
      <x:c r="A101" s="11">
        <x:v>100</x:v>
      </x:c>
      <x:c r="B101" s="9" t="s">
        <x:v>157</x:v>
      </x:c>
      <x:c r="C101" s="9" t="str">
        <x:v>Golden Brachiosaurus</x:v>
      </x:c>
      <x:c r="D101" s="9" t="s">
        <x:v>93</x:v>
      </x:c>
      <x:c r="E101" s="13" t="n">
        <x:f>IF($E$54*(1.05^(A101-$A$54))&lt;2000,ROUND($E$54*(1.05^(A101-$A$54))/50,0)*50,IF($E$54*(1.05^(A101-$A$54))&lt;10000,ROUND($E$54*(1.05^(A101-$A$54))/100,0)*100,ROUND($E$54*(1.05^(A101-$A$54))/500,0)*500))</x:f>
        <x:v>9900</x:v>
      </x:c>
      <x:c r="F101" s="13" t="n">
        <x:f>ROUND(((250*((2000/250)^((A101-$A$59)/($A$107-$A$59)))*H101)/5000000000)+0.000000001,0)*5000000000</x:f>
        <x:v>185000000000</x:v>
      </x:c>
      <x:c r="G101" s="9" t="str">
        <x:v>GoldshroomPatch</x:v>
      </x:c>
      <x:c r="H101" s="13" t="n">
        <x:f>IF(G101="","",VLOOKUP(G101,'Feeds'!$A$2:$E$26,5,FALSE))</x:f>
        <x:v>120000000</x:v>
      </x:c>
      <x:c r="I101" s="17" t="n">
        <x:f>IF(OR(F101="",H101=""),"",ROUND(F101/H101,1))</x:f>
        <x:v>1541.7</x:v>
      </x:c>
      <x:c r="J101" s="9" t="s">
        <x:v>158</x:v>
      </x:c>
    </x:row>
    <x:row r="102" ht="15.75" customHeight="1">
      <x:c r="A102" s="11">
        <x:v>101</x:v>
      </x:c>
      <x:c r="B102" s="9" t="s">
        <x:v>158</x:v>
      </x:c>
      <x:c r="C102" s="9" t="str">
        <x:v>Golden Spinosaurus</x:v>
      </x:c>
      <x:c r="D102" s="9" t="s">
        <x:v>93</x:v>
      </x:c>
      <x:c r="E102" s="13" t="n">
        <x:f>IF($E$54*(1.05^(A102-$A$54))&lt;2000,ROUND($E$54*(1.05^(A102-$A$54))/50,0)*50,IF($E$54*(1.05^(A102-$A$54))&lt;10000,ROUND($E$54*(1.05^(A102-$A$54))/100,0)*100,ROUND($E$54*(1.05^(A102-$A$54))/500,0)*500))</x:f>
        <x:v>10500</x:v>
      </x:c>
      <x:c r="F102" s="13" t="n">
        <x:f>ROUND(((250*((2000/250)^((A102-$A$59)/($A$107-$A$59)))*H102)/5000000000)+0.000000001,0)*5000000000</x:f>
        <x:v>195000000000</x:v>
      </x:c>
      <x:c r="G102" s="9" t="str">
        <x:v>GoldshroomPatch</x:v>
      </x:c>
      <x:c r="H102" s="13" t="n">
        <x:f>IF(G102="","",VLOOKUP(G102,'Feeds'!$A$2:$E$26,5,FALSE))</x:f>
        <x:v>120000000</x:v>
      </x:c>
      <x:c r="I102" s="17" t="n">
        <x:f>IF(OR(F102="",H102=""),"",ROUND(F102/H102,1))</x:f>
        <x:v>1625</x:v>
      </x:c>
      <x:c r="J102" s="9" t="s">
        <x:v>159</x:v>
      </x:c>
    </x:row>
    <x:row r="103" ht="15.75" customHeight="1">
      <x:c r="A103" s="11">
        <x:v>102</x:v>
      </x:c>
      <x:c r="B103" s="9" t="s">
        <x:v>159</x:v>
      </x:c>
      <x:c r="C103" s="9" t="str">
        <x:v>Golden T-Rex</x:v>
      </x:c>
      <x:c r="D103" s="9" t="s">
        <x:v>93</x:v>
      </x:c>
      <x:c r="E103" s="13" t="n">
        <x:f>IF($E$54*(1.05^(A103-$A$54))&lt;2000,ROUND($E$54*(1.05^(A103-$A$54))/50,0)*50,IF($E$54*(1.05^(A103-$A$54))&lt;10000,ROUND($E$54*(1.05^(A103-$A$54))/100,0)*100,ROUND($E$54*(1.05^(A103-$A$54))/500,0)*500))</x:f>
        <x:v>11000</x:v>
      </x:c>
      <x:c r="F103" s="13" t="n">
        <x:f>ROUND(((250*((2000/250)^((A103-$A$59)/($A$107-$A$59)))*H103)/5000000000)+0.000000001,0)*5000000000</x:f>
        <x:v>200000000000</x:v>
      </x:c>
      <x:c r="G103" s="9" t="str">
        <x:v>GoldshroomPatch</x:v>
      </x:c>
      <x:c r="H103" s="13" t="n">
        <x:f>IF(G103="","",VLOOKUP(G103,'Feeds'!$A$2:$E$26,5,FALSE))</x:f>
        <x:v>120000000</x:v>
      </x:c>
      <x:c r="I103" s="17" t="n">
        <x:f>IF(OR(F103="",H103=""),"",ROUND(F103/H103,1))</x:f>
        <x:v>1666.7</x:v>
      </x:c>
      <x:c r="J103" s="9" t="s">
        <x:v>160</x:v>
      </x:c>
    </x:row>
    <x:row r="104" ht="15.75" customHeight="1">
      <x:c r="A104" s="11">
        <x:v>103</x:v>
      </x:c>
      <x:c r="B104" s="9" t="s">
        <x:v>160</x:v>
      </x:c>
      <x:c r="C104" s="9" t="str">
        <x:v>Golden Mammoth</x:v>
      </x:c>
      <x:c r="D104" s="9" t="s">
        <x:v>107</x:v>
      </x:c>
      <x:c r="E104" s="13" t="n">
        <x:f>IF($E$54*(1.05^(A104-$A$54))&lt;2000,ROUND($E$54*(1.05^(A104-$A$54))/50,0)*50,IF($E$54*(1.05^(A104-$A$54))&lt;10000,ROUND($E$54*(1.05^(A104-$A$54))/100,0)*100,ROUND($E$54*(1.05^(A104-$A$54))/500,0)*500))</x:f>
        <x:v>11500</x:v>
      </x:c>
      <x:c r="F104" s="13" t="n">
        <x:f>ROUND(((250*((2000/250)^((A104-$A$59)/($A$107-$A$59)))*H104)/5000000000)+0.000000001,0)*5000000000</x:f>
        <x:v>210000000000</x:v>
      </x:c>
      <x:c r="G104" s="9" t="str">
        <x:v>GoldshroomPatch</x:v>
      </x:c>
      <x:c r="H104" s="13" t="n">
        <x:f>IF(G104="","",VLOOKUP(G104,'Feeds'!$A$2:$E$26,5,FALSE))</x:f>
        <x:v>120000000</x:v>
      </x:c>
      <x:c r="I104" s="17" t="n">
        <x:f>IF(OR(F104="",H104=""),"",ROUND(F104/H104,1))</x:f>
        <x:v>1750</x:v>
      </x:c>
      <x:c r="J104" s="9" t="s">
        <x:v>161</x:v>
      </x:c>
    </x:row>
    <x:row r="105" ht="15.75" customHeight="1">
      <x:c r="A105" s="11">
        <x:v>104</x:v>
      </x:c>
      <x:c r="B105" s="9" t="s">
        <x:v>161</x:v>
      </x:c>
      <x:c r="C105" s="9" t="str">
        <x:v>Golden Mosasaurus</x:v>
      </x:c>
      <x:c r="D105" s="9" t="s">
        <x:v>107</x:v>
      </x:c>
      <x:c r="E105" s="13" t="n">
        <x:f>IF($E$54*(1.05^(A105-$A$54))&lt;2000,ROUND($E$54*(1.05^(A105-$A$54))/50,0)*50,IF($E$54*(1.05^(A105-$A$54))&lt;10000,ROUND($E$54*(1.05^(A105-$A$54))/100,0)*100,ROUND($E$54*(1.05^(A105-$A$54))/500,0)*500))</x:f>
        <x:v>12000</x:v>
      </x:c>
      <x:c r="F105" s="13" t="n">
        <x:f>ROUND(((250*((2000/250)^((A105-$A$59)/($A$107-$A$59)))*H105)/5000000000)+0.000000001,0)*5000000000</x:f>
        <x:v>220000000000</x:v>
      </x:c>
      <x:c r="G105" s="9" t="str">
        <x:v>GoldshroomPatch</x:v>
      </x:c>
      <x:c r="H105" s="13" t="n">
        <x:f>IF(G105="","",VLOOKUP(G105,'Feeds'!$A$2:$E$26,5,FALSE))</x:f>
        <x:v>120000000</x:v>
      </x:c>
      <x:c r="I105" s="17" t="n">
        <x:f>IF(OR(F105="",H105=""),"",ROUND(F105/H105,1))</x:f>
        <x:v>1833.3</x:v>
      </x:c>
      <x:c r="J105" s="9" t="s">
        <x:v>162</x:v>
      </x:c>
    </x:row>
    <x:row r="106" ht="15.75" customHeight="1">
      <x:c r="A106" s="11">
        <x:v>105</x:v>
      </x:c>
      <x:c r="B106" s="9" t="s">
        <x:v>162</x:v>
      </x:c>
      <x:c r="C106" s="9" t="str">
        <x:v>Golden Kitsune</x:v>
      </x:c>
      <x:c r="D106" s="9" t="s">
        <x:v>107</x:v>
      </x:c>
      <x:c r="E106" s="13" t="n">
        <x:f>IF($E$54*(1.05^(A106-$A$54))&lt;2000,ROUND($E$54*(1.05^(A106-$A$54))/50,0)*50,IF($E$54*(1.05^(A106-$A$54))&lt;10000,ROUND($E$54*(1.05^(A106-$A$54))/100,0)*100,ROUND($E$54*(1.05^(A106-$A$54))/500,0)*500))</x:f>
        <x:v>12500</x:v>
      </x:c>
      <x:c r="F106" s="13" t="n">
        <x:f>ROUND(((250*((2000/250)^((A106-$A$59)/($A$107-$A$59)))*H106)/5000000000)+0.000000001,0)*5000000000</x:f>
        <x:v>230000000000</x:v>
      </x:c>
      <x:c r="G106" s="9" t="str">
        <x:v>GoldshroomPatch</x:v>
      </x:c>
      <x:c r="H106" s="13" t="n">
        <x:f>IF(G106="","",VLOOKUP(G106,'Feeds'!$A$2:$E$26,5,FALSE))</x:f>
        <x:v>120000000</x:v>
      </x:c>
      <x:c r="I106" s="17" t="n">
        <x:f>IF(OR(F106="",H106=""),"",ROUND(F106/H106,1))</x:f>
        <x:v>1916.7</x:v>
      </x:c>
      <x:c r="J106" s="9" t="s">
        <x:v>163</x:v>
      </x:c>
    </x:row>
    <x:row r="107" ht="15.75" customHeight="1">
      <x:c r="A107" s="11">
        <x:v>106</x:v>
      </x:c>
      <x:c r="B107" s="9" t="s">
        <x:v>163</x:v>
      </x:c>
      <x:c r="C107" s="9" t="str">
        <x:v>Golden Unicorn</x:v>
      </x:c>
      <x:c r="D107" s="9" t="s">
        <x:v>107</x:v>
      </x:c>
      <x:c r="E107" s="13" t="n">
        <x:f>IF($E$54*(1.05^(A107-$A$54))&lt;2000,ROUND($E$54*(1.05^(A107-$A$54))/50,0)*50,IF($E$54*(1.05^(A107-$A$54))&lt;10000,ROUND($E$54*(1.05^(A107-$A$54))/100,0)*100,ROUND($E$54*(1.05^(A107-$A$54))/500,0)*500))</x:f>
        <x:v>13500</x:v>
      </x:c>
      <x:c r="F107" s="13" t="n">
        <x:f>ROUND(((250*((2000/250)^((A107-$A$59)/($A$107-$A$59)))*H107)/5000000000)+0.000000001,0)*5000000000</x:f>
        <x:v>240000000000</x:v>
      </x:c>
      <x:c r="G107" s="9" t="str">
        <x:v>GoldshroomPatch</x:v>
      </x:c>
      <x:c r="H107" s="13" t="n">
        <x:f>IF(G107="","",VLOOKUP(G107,'Feeds'!$A$2:$E$26,5,FALSE))</x:f>
        <x:v>120000000</x:v>
      </x:c>
      <x:c r="I107" s="17" t="n">
        <x:f>IF(OR(F107="",H107=""),"",ROUND(F107/H107,1))</x:f>
        <x:v>2000</x:v>
      </x:c>
      <x:c r="J107" s="8"/>
    </x:row>
  </x:sheetData>
  <x:pageMargins left="0.7" right="0.7" top="0.75" bottom="0.75" header="0.3" footer="0.3"/>
  <x:legacyDrawing xmlns:r="http://schemas.openxmlformats.org/officeDocument/2006/relationships" r:id="R8f1052960c054454"/>
</x:worksheet>
</file>

<file path=xl/worksheets/sheet6.xml><?xml version="1.0" encoding="utf-8"?>
<x:worksheet xmlns:x="http://schemas.openxmlformats.org/spreadsheetml/2006/main">
  <x:sheetViews>
    <x:sheetView showGridLines="0" workbookViewId="0"/>
  </x:sheetViews>
  <x:sheetFormatPr defaultColWidth="14.5" defaultRowHeight="15"/>
  <x:cols>
    <x:col min="1" max="3" width="29" style="18" customWidth="1"/>
    <x:col min="4" max="5" width="14" style="18" customWidth="1"/>
    <x:col min="6" max="6" width="16" style="18" customWidth="1"/>
    <x:col min="7" max="7" width="14" style="18" customWidth="1"/>
    <x:col min="8" max="9" width="18" style="18" customWidth="1"/>
    <x:col min="10" max="11" width="16" style="18" customWidth="1"/>
    <x:col min="12" max="13" width="14" style="18" customWidth="1"/>
    <x:col min="14" max="16384" width="14.5" style="18" customWidth="1"/>
    <x:col min="14" max="14" width="18" hidden="0" customWidth="1"/>
  </x:cols>
  <x:sheetData>
    <x:row r="1" ht="13.550000190734863" customHeight="1">
      <x:c r="A1" s="7" t="s">
        <x:v>164</x:v>
      </x:c>
      <x:c r="B1" s="7" t="s">
        <x:v>45</x:v>
      </x:c>
      <x:c r="C1" s="7" t="s">
        <x:v>37</x:v>
      </x:c>
      <x:c r="D1" s="7" t="s">
        <x:v>46</x:v>
      </x:c>
      <x:c r="E1" s="7" t="s">
        <x:v>165</x:v>
      </x:c>
      <x:c r="F1" s="7" t="s">
        <x:v>166</x:v>
      </x:c>
      <x:c r="G1" s="7" t="s">
        <x:v>167</x:v>
      </x:c>
      <x:c r="H1" s="7" t="s">
        <x:v>168</x:v>
      </x:c>
      <x:c r="I1" s="7" t="s">
        <x:v>169</x:v>
      </x:c>
      <x:c r="J1" s="7" t="s">
        <x:v>170</x:v>
      </x:c>
      <x:c r="K1" s="7" t="s">
        <x:v>171</x:v>
      </x:c>
      <x:c r="L1" s="7" t="s">
        <x:v>172</x:v>
      </x:c>
      <x:c r="M1" s="7" t="s">
        <x:v>173</x:v>
      </x:c>
      <x:c r="N1" s="28" t="str">
        <x:v>GrowTimeSeconds</x:v>
      </x:c>
    </x:row>
    <x:row r="2" ht="13.550000190734863" customHeight="1">
      <x:c r="A2" s="9" t="str">
        <x:v>AppleTreeSeed</x:v>
      </x:c>
      <x:c r="B2" s="9" t="str">
        <x:v>Apple Tree Seed</x:v>
      </x:c>
      <x:c r="C2" s="9" t="str">
        <x:v>AppleTree</x:v>
      </x:c>
      <x:c r="D2" s="9" t="str">
        <x:v>Common</x:v>
      </x:c>
      <x:c r="E2" s="13" t="n">
        <x:v>2</x:v>
      </x:c>
      <x:c r="F2" s="9" t="str">
        <x:f>"1 in "&amp;TEXT(E2,"#,##0")</x:f>
        <x:v>1 in 2</x:v>
      </x:c>
      <x:c r="G2" s="9" t="str">
        <x:v>Pet1</x:v>
      </x:c>
      <x:c r="H2" s="9" t="str">
        <x:f>VLOOKUP(G2,'Pets'!$B$2:$E$107,2,FALSE)</x:f>
        <x:v>Chicken</x:v>
      </x:c>
      <x:c r="I2" s="13" t="n">
        <x:f>VLOOKUP(G2,'Pets'!$B$2:$E$107,4,FALSE)</x:f>
        <x:v>1</x:v>
      </x:c>
      <x:c r="J2" s="13" t="n">
        <x:v>2</x:v>
      </x:c>
      <x:c r="K2" s="13" t="n">
        <x:f>I2*60*J2</x:f>
        <x:v>120</x:v>
      </x:c>
      <x:c r="L2" s="13" t="n">
        <x:v>50</x:v>
      </x:c>
      <x:c r="M2" s="13" t="n">
        <x:f>L2-K2</x:f>
        <x:v>-70</x:v>
      </x:c>
      <x:c r="N2" s="29" t="n">
        <x:v>3</x:v>
      </x:c>
    </x:row>
    <x:row r="3" ht="13.550000190734863" customHeight="1">
      <x:c r="A3" s="9" t="str">
        <x:v>PumpkinSeed</x:v>
      </x:c>
      <x:c r="B3" s="9" t="str">
        <x:v>Pumpkin Seed</x:v>
      </x:c>
      <x:c r="C3" s="9" t="str">
        <x:v>PumpkinPatch</x:v>
      </x:c>
      <x:c r="D3" s="9" t="str">
        <x:v>Common</x:v>
      </x:c>
      <x:c r="E3" s="13" t="n">
        <x:v>3</x:v>
      </x:c>
      <x:c r="F3" s="9" t="str">
        <x:f>"1 in "&amp;TEXT(E3,"#,##0")</x:f>
        <x:v>1 in 3</x:v>
      </x:c>
      <x:c r="G3" s="9" t="str">
        <x:v>Pet4</x:v>
      </x:c>
      <x:c r="H3" s="9" t="str">
        <x:f>VLOOKUP(G3,'Pets'!$B$2:$E$107,2,FALSE)</x:f>
        <x:v>Bunny</x:v>
      </x:c>
      <x:c r="I3" s="13" t="n">
        <x:f>VLOOKUP(G3,'Pets'!$B$2:$E$107,4,FALSE)</x:f>
        <x:v>5</x:v>
      </x:c>
      <x:c r="J3" s="13" t="n">
        <x:v>2</x:v>
      </x:c>
      <x:c r="K3" s="13" t="n">
        <x:f>I3*60*J3</x:f>
        <x:v>600</x:v>
      </x:c>
      <x:c r="L3" s="13" t="n">
        <x:v>100</x:v>
      </x:c>
      <x:c r="M3" s="13" t="n">
        <x:f>L3-K3</x:f>
        <x:v>-500</x:v>
      </x:c>
      <x:c r="N3" s="29" t="n">
        <x:v>3</x:v>
      </x:c>
    </x:row>
    <x:row r="4" ht="13.550000190734863" customHeight="1">
      <x:c r="A4" s="9" t="str">
        <x:v>CabbageSeed</x:v>
      </x:c>
      <x:c r="B4" s="9" t="str">
        <x:v>Cabbage Seed</x:v>
      </x:c>
      <x:c r="C4" s="9" t="str">
        <x:v>CabbagePatch</x:v>
      </x:c>
      <x:c r="D4" s="9" t="str">
        <x:v>Common</x:v>
      </x:c>
      <x:c r="E4" s="13" t="n">
        <x:v>16</x:v>
      </x:c>
      <x:c r="F4" s="9" t="str">
        <x:f>"1 in "&amp;TEXT(E4,"#,##0")</x:f>
        <x:v>1 in 16</x:v>
      </x:c>
      <x:c r="G4" s="9" t="str">
        <x:v>Pet6</x:v>
      </x:c>
      <x:c r="H4" s="9" t="str">
        <x:f>VLOOKUP(G4,'Pets'!$B$2:$E$107,2,FALSE)</x:f>
        <x:v>Parrot</x:v>
      </x:c>
      <x:c r="I4" s="13" t="n">
        <x:f>VLOOKUP(G4,'Pets'!$B$2:$E$107,4,FALSE)</x:f>
        <x:v>8</x:v>
      </x:c>
      <x:c r="J4" s="13" t="n">
        <x:v>2</x:v>
      </x:c>
      <x:c r="K4" s="13" t="n">
        <x:f>I4*60*J4</x:f>
        <x:v>960</x:v>
      </x:c>
      <x:c r="L4" s="13" t="n">
        <x:v>500</x:v>
      </x:c>
      <x:c r="M4" s="13" t="n">
        <x:f>L4-K4</x:f>
        <x:v>-460</x:v>
      </x:c>
      <x:c r="N4" s="29" t="n">
        <x:v>3</x:v>
      </x:c>
    </x:row>
    <x:row r="5" ht="13.550000190734863" customHeight="1">
      <x:c r="A5" s="9" t="str">
        <x:v>PotatoSeed</x:v>
      </x:c>
      <x:c r="B5" s="9" t="str">
        <x:v>Potato Seed</x:v>
      </x:c>
      <x:c r="C5" s="9" t="str">
        <x:v>PotatoPatch</x:v>
      </x:c>
      <x:c r="D5" s="9" t="str">
        <x:v>Rare</x:v>
      </x:c>
      <x:c r="E5" s="13" t="n">
        <x:v>28</x:v>
      </x:c>
      <x:c r="F5" s="9" t="str">
        <x:f>"1 in "&amp;TEXT(E5,"#,##0")</x:f>
        <x:v>1 in 28</x:v>
      </x:c>
      <x:c r="G5" s="9" t="str">
        <x:v>Pet9</x:v>
      </x:c>
      <x:c r="H5" s="9" t="str">
        <x:f>VLOOKUP(G5,'Pets'!$B$2:$E$107,2,FALSE)</x:f>
        <x:v>Cat</x:v>
      </x:c>
      <x:c r="I5" s="13" t="n">
        <x:f>VLOOKUP(G5,'Pets'!$B$2:$E$107,4,FALSE)</x:f>
        <x:v>12</x:v>
      </x:c>
      <x:c r="J5" s="13" t="n">
        <x:v>2</x:v>
      </x:c>
      <x:c r="K5" s="13" t="n">
        <x:f>I5*60*J5</x:f>
        <x:v>1440</x:v>
      </x:c>
      <x:c r="L5" s="13" t="n">
        <x:v>1500</x:v>
      </x:c>
      <x:c r="M5" s="13" t="n">
        <x:f>L5-K5</x:f>
        <x:v>60</x:v>
      </x:c>
      <x:c r="N5" s="29" t="n">
        <x:v>3</x:v>
      </x:c>
    </x:row>
    <x:row r="6" ht="13.550000190734863" customHeight="1">
      <x:c r="A6" s="9" t="str">
        <x:v>OrangeTreeSeed</x:v>
      </x:c>
      <x:c r="B6" s="9" t="str">
        <x:v>Orange Tree Seed</x:v>
      </x:c>
      <x:c r="C6" s="9" t="str">
        <x:v>OrangeTree</x:v>
      </x:c>
      <x:c r="D6" s="9" t="str">
        <x:v>Rare</x:v>
      </x:c>
      <x:c r="E6" s="13" t="n">
        <x:v>45</x:v>
      </x:c>
      <x:c r="F6" s="9" t="str">
        <x:f>"1 in "&amp;TEXT(E6,"#,##0")</x:f>
        <x:v>1 in 45</x:v>
      </x:c>
      <x:c r="G6" s="9" t="str">
        <x:v>Pet12</x:v>
      </x:c>
      <x:c r="H6" s="9" t="str">
        <x:f>VLOOKUP(G6,'Pets'!$B$2:$E$107,2,FALSE)</x:f>
        <x:v>Bull</x:v>
      </x:c>
      <x:c r="I6" s="13" t="n">
        <x:f>VLOOKUP(G6,'Pets'!$B$2:$E$107,4,FALSE)</x:f>
        <x:v>17</x:v>
      </x:c>
      <x:c r="J6" s="13" t="n">
        <x:v>2</x:v>
      </x:c>
      <x:c r="K6" s="13" t="n">
        <x:f>I6*60*J6</x:f>
        <x:v>2040</x:v>
      </x:c>
      <x:c r="L6" s="13" t="n">
        <x:v>2000</x:v>
      </x:c>
      <x:c r="M6" s="13" t="n">
        <x:f>L6-K6</x:f>
        <x:v>-40</x:v>
      </x:c>
      <x:c r="N6" s="29" t="n">
        <x:v>60</x:v>
      </x:c>
    </x:row>
    <x:row r="7" ht="13.550000190734863" customHeight="1">
      <x:c r="A7" s="9" t="str">
        <x:v>WatermelonSeed</x:v>
      </x:c>
      <x:c r="B7" s="9" t="str">
        <x:v>Watermelon Seed</x:v>
      </x:c>
      <x:c r="C7" s="9" t="str">
        <x:v>WatermelonPatch</x:v>
      </x:c>
      <x:c r="D7" s="9" t="str">
        <x:v>Rare</x:v>
      </x:c>
      <x:c r="E7" s="13" t="n">
        <x:v>75</x:v>
      </x:c>
      <x:c r="F7" s="9" t="str">
        <x:f>"1 in "&amp;TEXT(E7,"#,##0")</x:f>
        <x:v>1 in 75</x:v>
      </x:c>
      <x:c r="G7" s="9" t="str">
        <x:v>Pet15</x:v>
      </x:c>
      <x:c r="H7" s="9" t="str">
        <x:f>VLOOKUP(G7,'Pets'!$B$2:$E$107,2,FALSE)</x:f>
        <x:v>Golden Retriever</x:v>
      </x:c>
      <x:c r="I7" s="13" t="n">
        <x:f>VLOOKUP(G7,'Pets'!$B$2:$E$107,4,FALSE)</x:f>
        <x:v>24</x:v>
      </x:c>
      <x:c r="J7" s="13" t="n">
        <x:v>2</x:v>
      </x:c>
      <x:c r="K7" s="13" t="n">
        <x:f>I7*60*J7</x:f>
        <x:v>2880</x:v>
      </x:c>
      <x:c r="L7" s="13" t="n">
        <x:v>3000</x:v>
      </x:c>
      <x:c r="M7" s="13" t="n">
        <x:f>L7-K7</x:f>
        <x:v>120</x:v>
      </x:c>
      <x:c r="N7" s="29" t="n">
        <x:v>3</x:v>
      </x:c>
    </x:row>
    <x:row r="8" ht="13.550000190734863" customHeight="1">
      <x:c r="A8" s="9" t="str">
        <x:v>PlumTreeSeed</x:v>
      </x:c>
      <x:c r="B8" s="9" t="str">
        <x:v>Plum Tree Seed</x:v>
      </x:c>
      <x:c r="C8" s="9" t="str">
        <x:v>PlumTree</x:v>
      </x:c>
      <x:c r="D8" s="9" t="str">
        <x:v>Rare</x:v>
      </x:c>
      <x:c r="E8" s="13" t="n">
        <x:v>256</x:v>
      </x:c>
      <x:c r="F8" s="9" t="str">
        <x:f>"1 in "&amp;TEXT(E8,"#,##0")</x:f>
        <x:v>1 in 256</x:v>
      </x:c>
      <x:c r="G8" s="9" t="str">
        <x:v>Pet17</x:v>
      </x:c>
      <x:c r="H8" s="9" t="str">
        <x:f>VLOOKUP(G8,'Pets'!$B$2:$E$107,2,FALSE)</x:f>
        <x:v>Capybara</x:v>
      </x:c>
      <x:c r="I8" s="13" t="n">
        <x:f>VLOOKUP(G8,'Pets'!$B$2:$E$107,4,FALSE)</x:f>
        <x:v>30</x:v>
      </x:c>
      <x:c r="J8" s="13" t="n">
        <x:v>2</x:v>
      </x:c>
      <x:c r="K8" s="13" t="n">
        <x:f>I8*60*J8</x:f>
        <x:v>3600</x:v>
      </x:c>
      <x:c r="L8" s="13" t="n">
        <x:v>3500</x:v>
      </x:c>
      <x:c r="M8" s="13" t="n">
        <x:f>L8-K8</x:f>
        <x:v>-100</x:v>
      </x:c>
      <x:c r="N8" s="29" t="n">
        <x:v>120</x:v>
      </x:c>
    </x:row>
    <x:row r="9" ht="13.550000190734863" customHeight="1">
      <x:c r="A9" s="9" t="str">
        <x:v>CornSeed</x:v>
      </x:c>
      <x:c r="B9" s="9" t="str">
        <x:v>Corn Seed</x:v>
      </x:c>
      <x:c r="C9" s="9" t="str">
        <x:v>CornPatch</x:v>
      </x:c>
      <x:c r="D9" s="9" t="str">
        <x:v>Epic</x:v>
      </x:c>
      <x:c r="E9" s="13" t="n">
        <x:v>427</x:v>
      </x:c>
      <x:c r="F9" s="9" t="str">
        <x:f>"1 in "&amp;TEXT(E9,"#,##0")</x:f>
        <x:v>1 in 427</x:v>
      </x:c>
      <x:c r="G9" s="9" t="str">
        <x:v>Pet20</x:v>
      </x:c>
      <x:c r="H9" s="9" t="str">
        <x:f>VLOOKUP(G9,'Pets'!$B$2:$E$107,2,FALSE)</x:f>
        <x:v>Lizard</x:v>
      </x:c>
      <x:c r="I9" s="13" t="n">
        <x:f>VLOOKUP(G9,'Pets'!$B$2:$E$107,4,FALSE)</x:f>
        <x:v>40</x:v>
      </x:c>
      <x:c r="J9" s="13" t="n">
        <x:v>2</x:v>
      </x:c>
      <x:c r="K9" s="13" t="n">
        <x:f>I9*60*J9</x:f>
        <x:v>4800</x:v>
      </x:c>
      <x:c r="L9" s="13" t="n">
        <x:v>5000</x:v>
      </x:c>
      <x:c r="M9" s="13" t="n">
        <x:f>L9-K9</x:f>
        <x:v>200</x:v>
      </x:c>
      <x:c r="N9" s="29" t="n">
        <x:v>3</x:v>
      </x:c>
    </x:row>
    <x:row r="10" ht="13.550000190734863" customHeight="1">
      <x:c r="A10" s="9" t="str">
        <x:v>CherryTreeSeed</x:v>
      </x:c>
      <x:c r="B10" s="9" t="str">
        <x:v>Cherry Tree Seed</x:v>
      </x:c>
      <x:c r="C10" s="9" t="str">
        <x:v>CherryTree</x:v>
      </x:c>
      <x:c r="D10" s="9" t="str">
        <x:v>Epic</x:v>
      </x:c>
      <x:c r="E10" s="13" t="n">
        <x:v>512</x:v>
      </x:c>
      <x:c r="F10" s="9" t="str">
        <x:f>"1 in "&amp;TEXT(E10,"#,##0")</x:f>
        <x:v>1 in 512</x:v>
      </x:c>
      <x:c r="G10" s="9" t="str">
        <x:v>Pet23</x:v>
      </x:c>
      <x:c r="H10" s="9" t="str">
        <x:f>VLOOKUP(G10,'Pets'!$B$2:$E$107,2,FALSE)</x:f>
        <x:v>Goldfish</x:v>
      </x:c>
      <x:c r="I10" s="13" t="n">
        <x:f>VLOOKUP(G10,'Pets'!$B$2:$E$107,4,FALSE)</x:f>
        <x:v>63</x:v>
      </x:c>
      <x:c r="J10" s="13" t="n">
        <x:v>2</x:v>
      </x:c>
      <x:c r="K10" s="13" t="n">
        <x:f>I10*60*J10</x:f>
        <x:v>7560</x:v>
      </x:c>
      <x:c r="L10" s="13" t="n">
        <x:v>7500</x:v>
      </x:c>
      <x:c r="M10" s="13" t="n">
        <x:f>L10-K10</x:f>
        <x:v>-60</x:v>
      </x:c>
      <x:c r="N10" s="29" t="n">
        <x:v>420</x:v>
      </x:c>
    </x:row>
    <x:row r="11" ht="13.550000190734863" customHeight="1">
      <x:c r="A11" s="9" t="str">
        <x:v>MushroomSeed</x:v>
      </x:c>
      <x:c r="B11" s="9" t="str">
        <x:v>Mushroom Seed</x:v>
      </x:c>
      <x:c r="C11" s="9" t="str">
        <x:v>MushroomPatch</x:v>
      </x:c>
      <x:c r="D11" s="9" t="str">
        <x:v>Epic</x:v>
      </x:c>
      <x:c r="E11" s="13" t="n">
        <x:v>640</x:v>
      </x:c>
      <x:c r="F11" s="9" t="str">
        <x:f>"1 in "&amp;TEXT(E11,"#,##0")</x:f>
        <x:v>1 in 640</x:v>
      </x:c>
      <x:c r="G11" s="9" t="str">
        <x:v>Pet26</x:v>
      </x:c>
      <x:c r="H11" s="9" t="str">
        <x:f>VLOOKUP(G11,'Pets'!$B$2:$E$107,2,FALSE)</x:f>
        <x:v>Whale</x:v>
      </x:c>
      <x:c r="I11" s="13" t="n">
        <x:f>VLOOKUP(G11,'Pets'!$B$2:$E$107,4,FALSE)</x:f>
        <x:v>90</x:v>
      </x:c>
      <x:c r="J11" s="13" t="n">
        <x:v>2</x:v>
      </x:c>
      <x:c r="K11" s="13" t="n">
        <x:f>I11*60*J11</x:f>
        <x:v>10800</x:v>
      </x:c>
      <x:c r="L11" s="13" t="n">
        <x:v>10000</x:v>
      </x:c>
      <x:c r="M11" s="13" t="n">
        <x:f>L11-K11</x:f>
        <x:v>-800</x:v>
      </x:c>
      <x:c r="N11" s="29" t="n">
        <x:v>3</x:v>
      </x:c>
    </x:row>
    <x:row r="12" ht="13.550000190734863" customHeight="1">
      <x:c r="A12" s="9" t="str">
        <x:v>BananaTreeSeed</x:v>
      </x:c>
      <x:c r="B12" s="9" t="str">
        <x:v>Banana Tree Seed</x:v>
      </x:c>
      <x:c r="C12" s="9" t="str">
        <x:v>BananaTree</x:v>
      </x:c>
      <x:c r="D12" s="9" t="str">
        <x:v>Epic</x:v>
      </x:c>
      <x:c r="E12" s="13" t="n">
        <x:v>853</x:v>
      </x:c>
      <x:c r="F12" s="9" t="str">
        <x:f>"1 in "&amp;TEXT(E12,"#,##0")</x:f>
        <x:v>1 in 853</x:v>
      </x:c>
      <x:c r="G12" s="9" t="str">
        <x:v>Pet28</x:v>
      </x:c>
      <x:c r="H12" s="9" t="str">
        <x:f>VLOOKUP(G12,'Pets'!$B$2:$E$107,2,FALSE)</x:f>
        <x:v>Ostrich</x:v>
      </x:c>
      <x:c r="I12" s="13" t="n">
        <x:f>VLOOKUP(G12,'Pets'!$B$2:$E$107,4,FALSE)</x:f>
        <x:v>113</x:v>
      </x:c>
      <x:c r="J12" s="13" t="n">
        <x:v>2</x:v>
      </x:c>
      <x:c r="K12" s="13" t="n">
        <x:f>I12*60*J12</x:f>
        <x:v>13560</x:v>
      </x:c>
      <x:c r="L12" s="13" t="n">
        <x:v>12500</x:v>
      </x:c>
      <x:c r="M12" s="13" t="n">
        <x:f>L12-K12</x:f>
        <x:v>-1060</x:v>
      </x:c>
      <x:c r="N12" s="29" t="n">
        <x:v>900</x:v>
      </x:c>
    </x:row>
    <x:row r="13" ht="13.550000190734863" customHeight="1">
      <x:c r="A13" s="9" t="str">
        <x:v>CactusSeed</x:v>
      </x:c>
      <x:c r="B13" s="9" t="str">
        <x:v>Cactus Seed</x:v>
      </x:c>
      <x:c r="C13" s="9" t="str">
        <x:v>Cactus</x:v>
      </x:c>
      <x:c r="D13" s="9" t="str">
        <x:v>Epic</x:v>
      </x:c>
      <x:c r="E13" s="13" t="n">
        <x:v>1200</x:v>
      </x:c>
      <x:c r="F13" s="9" t="str">
        <x:f>"1 in "&amp;TEXT(E13,"#,##0")</x:f>
        <x:v>1 in 1,200</x:v>
      </x:c>
      <x:c r="G13" s="9" t="str">
        <x:v>Pet31</x:v>
      </x:c>
      <x:c r="H13" s="9" t="str">
        <x:f>VLOOKUP(G13,'Pets'!$B$2:$E$107,2,FALSE)</x:f>
        <x:v>Giraffe</x:v>
      </x:c>
      <x:c r="I13" s="13" t="n">
        <x:f>VLOOKUP(G13,'Pets'!$B$2:$E$107,4,FALSE)</x:f>
        <x:v>155</x:v>
      </x:c>
      <x:c r="J13" s="13" t="n">
        <x:v>2</x:v>
      </x:c>
      <x:c r="K13" s="13" t="n">
        <x:f>I13*60*J13</x:f>
        <x:v>18600</x:v>
      </x:c>
      <x:c r="L13" s="13" t="n">
        <x:v>15000</x:v>
      </x:c>
      <x:c r="M13" s="13" t="n">
        <x:f>L13-K13</x:f>
        <x:v>-3600</x:v>
      </x:c>
      <x:c r="N13" s="29" t="n">
        <x:v>1200</x:v>
      </x:c>
    </x:row>
    <x:row r="14" ht="13.550000190734863" customHeight="1">
      <x:c r="A14" s="9" t="str">
        <x:v>PineappleSeed</x:v>
      </x:c>
      <x:c r="B14" s="9" t="str">
        <x:v>Pineapple Seed</x:v>
      </x:c>
      <x:c r="C14" s="9" t="str">
        <x:v>PineapplePatch</x:v>
      </x:c>
      <x:c r="D14" s="9" t="str">
        <x:v>Legendary</x:v>
      </x:c>
      <x:c r="E14" s="13" t="n">
        <x:v>1707</x:v>
      </x:c>
      <x:c r="F14" s="9" t="str">
        <x:f>"1 in "&amp;TEXT(E14,"#,##0")</x:f>
        <x:v>1 in 1,707</x:v>
      </x:c>
      <x:c r="G14" s="9" t="str">
        <x:v>Pet34</x:v>
      </x:c>
      <x:c r="H14" s="9" t="str">
        <x:f>VLOOKUP(G14,'Pets'!$B$2:$E$107,2,FALSE)</x:f>
        <x:v>Polar Bear</x:v>
      </x:c>
      <x:c r="I14" s="13" t="n">
        <x:f>VLOOKUP(G14,'Pets'!$B$2:$E$107,4,FALSE)</x:f>
        <x:v>207</x:v>
      </x:c>
      <x:c r="J14" s="13" t="n">
        <x:v>2</x:v>
      </x:c>
      <x:c r="K14" s="13" t="n">
        <x:f>I14*60*J14</x:f>
        <x:v>24840</x:v>
      </x:c>
      <x:c r="L14" s="13" t="n">
        <x:v>25000</x:v>
      </x:c>
      <x:c r="M14" s="13" t="n">
        <x:f>L14-K14</x:f>
        <x:v>160</x:v>
      </x:c>
      <x:c r="N14" s="29" t="n">
        <x:v>3</x:v>
      </x:c>
    </x:row>
    <x:row r="15" ht="13.550000190734863" customHeight="1">
      <x:c r="A15" s="9" t="str">
        <x:v>FigTreeSeed</x:v>
      </x:c>
      <x:c r="B15" s="9" t="str">
        <x:v>Fig Tree Seed</x:v>
      </x:c>
      <x:c r="C15" s="9" t="str">
        <x:v>FigTree</x:v>
      </x:c>
      <x:c r="D15" s="9" t="str">
        <x:v>Legendary</x:v>
      </x:c>
      <x:c r="E15" s="13" t="n">
        <x:v>2560</x:v>
      </x:c>
      <x:c r="F15" s="9" t="str">
        <x:f>"1 in "&amp;TEXT(E15,"#,##0")</x:f>
        <x:v>1 in 2,560</x:v>
      </x:c>
      <x:c r="G15" s="9" t="str">
        <x:v>Pet37</x:v>
      </x:c>
      <x:c r="H15" s="9" t="str">
        <x:f>VLOOKUP(G15,'Pets'!$B$2:$E$107,2,FALSE)</x:f>
        <x:v>Lion</x:v>
      </x:c>
      <x:c r="I15" s="13" t="n">
        <x:f>VLOOKUP(G15,'Pets'!$B$2:$E$107,4,FALSE)</x:f>
        <x:v>300</x:v>
      </x:c>
      <x:c r="J15" s="13" t="n">
        <x:v>2</x:v>
      </x:c>
      <x:c r="K15" s="13" t="n">
        <x:f>I15*60*J15</x:f>
        <x:v>36000</x:v>
      </x:c>
      <x:c r="L15" s="13" t="n">
        <x:v>35000</x:v>
      </x:c>
      <x:c r="M15" s="13" t="n">
        <x:f>L15-K15</x:f>
        <x:v>-1000</x:v>
      </x:c>
      <x:c r="N15" s="29" t="n">
        <x:v>3600</x:v>
      </x:c>
    </x:row>
    <x:row r="16" ht="13.550000190734863" customHeight="1">
      <x:c r="A16" s="9" t="str">
        <x:v>PurpleShroomSeed</x:v>
      </x:c>
      <x:c r="B16" s="9" t="str">
        <x:v>Purple Shroom Seed</x:v>
      </x:c>
      <x:c r="C16" s="9" t="str">
        <x:v>PurpleShroomPatch</x:v>
      </x:c>
      <x:c r="D16" s="9" t="str">
        <x:v>Legendary</x:v>
      </x:c>
      <x:c r="E16" s="13" t="n">
        <x:v>32000</x:v>
      </x:c>
      <x:c r="F16" s="9" t="str">
        <x:f>"1 in "&amp;TEXT(E16,"#,##0")</x:f>
        <x:v>1 in 32,000</x:v>
      </x:c>
      <x:c r="G16" s="9" t="str">
        <x:v>Pet39</x:v>
      </x:c>
      <x:c r="H16" s="9" t="str">
        <x:f>VLOOKUP(G16,'Pets'!$B$2:$E$107,2,FALSE)</x:f>
        <x:v>Crocodile</x:v>
      </x:c>
      <x:c r="I16" s="13" t="n">
        <x:f>VLOOKUP(G16,'Pets'!$B$2:$E$107,4,FALSE)</x:f>
        <x:v>360</x:v>
      </x:c>
      <x:c r="J16" s="13" t="n">
        <x:v>2</x:v>
      </x:c>
      <x:c r="K16" s="13" t="n">
        <x:f>I16*60*J16</x:f>
        <x:v>43200</x:v>
      </x:c>
      <x:c r="L16" s="13" t="n">
        <x:v>40000</x:v>
      </x:c>
      <x:c r="M16" s="13" t="n">
        <x:f>L16-K16</x:f>
        <x:v>-3200</x:v>
      </x:c>
      <x:c r="N16" s="29" t="n">
        <x:v>3</x:v>
      </x:c>
    </x:row>
    <x:row r="17" ht="13.550000190734863" customHeight="1">
      <x:c r="A17" s="9" t="str">
        <x:v>BloodOrangeTreeSeed</x:v>
      </x:c>
      <x:c r="B17" s="9" t="str">
        <x:v>Blood Orange Tree Seed</x:v>
      </x:c>
      <x:c r="C17" s="9" t="str">
        <x:v>BloodOrangeTree</x:v>
      </x:c>
      <x:c r="D17" s="9" t="str">
        <x:v>Legendary</x:v>
      </x:c>
      <x:c r="E17" s="13" t="n">
        <x:v>42667</x:v>
      </x:c>
      <x:c r="F17" s="9" t="str">
        <x:f>"1 in "&amp;TEXT(E17,"#,##0")</x:f>
        <x:v>1 in 42,667</x:v>
      </x:c>
      <x:c r="G17" s="9" t="str">
        <x:v>Pet42</x:v>
      </x:c>
      <x:c r="H17" s="9" t="str">
        <x:f>VLOOKUP(G17,'Pets'!$B$2:$E$107,2,FALSE)</x:f>
        <x:v>Hydra</x:v>
      </x:c>
      <x:c r="I17" s="13" t="n">
        <x:f>VLOOKUP(G17,'Pets'!$B$2:$E$107,4,FALSE)</x:f>
        <x:v>470</x:v>
      </x:c>
      <x:c r="J17" s="13" t="n">
        <x:v>2</x:v>
      </x:c>
      <x:c r="K17" s="13" t="n">
        <x:f>I17*60*J17</x:f>
        <x:v>56400</x:v>
      </x:c>
      <x:c r="L17" s="13" t="n">
        <x:v>50000</x:v>
      </x:c>
      <x:c r="M17" s="13" t="n">
        <x:f>L17-K17</x:f>
        <x:v>-6400</x:v>
      </x:c>
      <x:c r="N17" s="29" t="n">
        <x:v>5400</x:v>
      </x:c>
    </x:row>
    <x:row r="18" ht="13.550000190734863" customHeight="1">
      <x:c r="A18" s="9" t="str">
        <x:v>GlowshroomSeed</x:v>
      </x:c>
      <x:c r="B18" s="9" t="str">
        <x:v>Glowshroom Seed</x:v>
      </x:c>
      <x:c r="C18" s="9" t="str">
        <x:v>GlowshroomPatch</x:v>
      </x:c>
      <x:c r="D18" s="9" t="str">
        <x:v>Mythical</x:v>
      </x:c>
      <x:c r="E18" s="13" t="n">
        <x:v>64000</x:v>
      </x:c>
      <x:c r="F18" s="9" t="str">
        <x:f>"1 in "&amp;TEXT(E18,"#,##0")</x:f>
        <x:v>1 in 64,000</x:v>
      </x:c>
      <x:c r="G18" s="9" t="str">
        <x:v>Pet45</x:v>
      </x:c>
      <x:c r="H18" s="9" t="str">
        <x:f>VLOOKUP(G18,'Pets'!$B$2:$E$107,2,FALSE)</x:f>
        <x:v>Gallimimus</x:v>
      </x:c>
      <x:c r="I18" s="13" t="n">
        <x:f>VLOOKUP(G18,'Pets'!$B$2:$E$107,4,FALSE)</x:f>
        <x:v>595</x:v>
      </x:c>
      <x:c r="J18" s="13" t="n">
        <x:v>2</x:v>
      </x:c>
      <x:c r="K18" s="13" t="n">
        <x:f>I18*60*J18</x:f>
        <x:v>71400</x:v>
      </x:c>
      <x:c r="L18" s="13" t="n">
        <x:v>70000</x:v>
      </x:c>
      <x:c r="M18" s="13" t="n">
        <x:f>L18-K18</x:f>
        <x:v>-1400</x:v>
      </x:c>
      <x:c r="N18" s="29" t="n">
        <x:v>3</x:v>
      </x:c>
    </x:row>
    <x:row r="19" ht="13.550000190734863" customHeight="1">
      <x:c r="A19" s="9" t="str">
        <x:v>DragonfruitTreeSeed</x:v>
      </x:c>
      <x:c r="B19" s="9" t="str">
        <x:v>Dragonfruit Tree Seed</x:v>
      </x:c>
      <x:c r="C19" s="9" t="str">
        <x:v>DragonfruitTree</x:v>
      </x:c>
      <x:c r="D19" s="9" t="str">
        <x:v>Mythical</x:v>
      </x:c>
      <x:c r="E19" s="13" t="n">
        <x:v>85333</x:v>
      </x:c>
      <x:c r="F19" s="9" t="str">
        <x:f>"1 in "&amp;TEXT(E19,"#,##0")</x:f>
        <x:v>1 in 85,333</x:v>
      </x:c>
      <x:c r="G19" s="9" t="str">
        <x:v>Pet48</x:v>
      </x:c>
      <x:c r="H19" s="9" t="str">
        <x:f>VLOOKUP(G19,'Pets'!$B$2:$E$107,2,FALSE)</x:f>
        <x:v>Spinosaurus</x:v>
      </x:c>
      <x:c r="I19" s="13" t="n">
        <x:f>VLOOKUP(G19,'Pets'!$B$2:$E$107,4,FALSE)</x:f>
        <x:v>745</x:v>
      </x:c>
      <x:c r="J19" s="13" t="n">
        <x:v>2</x:v>
      </x:c>
      <x:c r="K19" s="13" t="n">
        <x:f>I19*60*J19</x:f>
        <x:v>89400</x:v>
      </x:c>
      <x:c r="L19" s="13" t="n">
        <x:v>85000</x:v>
      </x:c>
      <x:c r="M19" s="13" t="n">
        <x:f>L19-K19</x:f>
        <x:v>-4400</x:v>
      </x:c>
      <x:c r="N19" s="29" t="n">
        <x:v>12600</x:v>
      </x:c>
    </x:row>
    <x:row r="20" ht="13.550000190734863" customHeight="1">
      <x:c r="A20" s="9" t="str">
        <x:v>GoldenmelonSeed</x:v>
      </x:c>
      <x:c r="B20" s="9" t="str">
        <x:v>Goldenmelon Seed</x:v>
      </x:c>
      <x:c r="C20" s="9" t="str">
        <x:v>GoldenmelonPatch</x:v>
      </x:c>
      <x:c r="D20" s="9" t="str">
        <x:v>Mythical</x:v>
      </x:c>
      <x:c r="E20" s="13" t="n">
        <x:v>250000</x:v>
      </x:c>
      <x:c r="F20" s="9" t="str">
        <x:f>"1 in "&amp;TEXT(E20,"#,##0")</x:f>
        <x:v>1 in 250,000</x:v>
      </x:c>
      <x:c r="G20" s="9" t="str">
        <x:v>Pet54</x:v>
      </x:c>
      <x:c r="H20" s="9" t="str">
        <x:f>VLOOKUP(G20,'Pets'!$B$2:$E$107,2,FALSE)</x:f>
        <x:v>Golden Chicken</x:v>
      </x:c>
      <x:c r="I20" s="13" t="n">
        <x:f>VLOOKUP(G20,'Pets'!$B$2:$E$107,4,FALSE)</x:f>
        <x:v>1050</x:v>
      </x:c>
      <x:c r="J20" s="13" t="n">
        <x:f>'Assumptions'!$B$2</x:f>
        <x:v>3</x:v>
      </x:c>
      <x:c r="K20" s="13" t="n">
        <x:f>I20*60*J20</x:f>
        <x:v>189000</x:v>
      </x:c>
      <x:c r="L20" s="13" t="n">
        <x:v>190000</x:v>
      </x:c>
      <x:c r="M20" s="13" t="n">
        <x:f>L20-K20</x:f>
        <x:v>1000</x:v>
      </x:c>
      <x:c r="N20" s="29" t="n">
        <x:v>3</x:v>
      </x:c>
    </x:row>
    <x:row r="21" ht="15.75" customHeight="1">
      <x:c r="A21" s="9" t="str">
        <x:v>GoldenAppleTreeSeed</x:v>
      </x:c>
      <x:c r="B21" s="9" t="str">
        <x:v>Golden Apple Tree Seed</x:v>
      </x:c>
      <x:c r="C21" s="9" t="str">
        <x:v>GoldenAppleTree</x:v>
      </x:c>
      <x:c r="D21" s="9" t="str">
        <x:v>Secret</x:v>
      </x:c>
      <x:c r="E21" s="13" t="n">
        <x:v>1000000</x:v>
      </x:c>
      <x:c r="F21" s="9" t="str">
        <x:f>"1 in "&amp;TEXT(E21,"#,##0")</x:f>
        <x:v>1 in 1,000,000</x:v>
      </x:c>
      <x:c r="G21" s="9" t="str">
        <x:v>Pet50</x:v>
      </x:c>
      <x:c r="H21" s="9" t="str">
        <x:f>VLOOKUP(G21,'Pets'!$B$2:$E$107,2,FALSE)</x:f>
        <x:v>Mammoth</x:v>
      </x:c>
      <x:c r="I21" s="13" t="n">
        <x:f>VLOOKUP(G21,'Pets'!$B$2:$E$107,4,FALSE)</x:f>
        <x:v>850</x:v>
      </x:c>
      <x:c r="J21" s="13" t="n">
        <x:v>2</x:v>
      </x:c>
      <x:c r="K21" s="13" t="n">
        <x:f>I21*60*J21</x:f>
        <x:v>102000</x:v>
      </x:c>
      <x:c r="L21" s="13" t="n">
        <x:v>100000</x:v>
      </x:c>
      <x:c r="M21" s="13" t="n">
        <x:f>L21-K21</x:f>
        <x:v>-2000</x:v>
      </x:c>
      <x:c r="N21" s="29" t="n">
        <x:v>16200</x:v>
      </x:c>
    </x:row>
    <x:row r="22" ht="15.75" customHeight="1">
      <x:c r="A22" s="9" t="str">
        <x:v>DurianTreeSeed</x:v>
      </x:c>
      <x:c r="B22" s="9" t="str">
        <x:v>Durian Tree Seed</x:v>
      </x:c>
      <x:c r="C22" s="9" t="str">
        <x:v>DurianTree</x:v>
      </x:c>
      <x:c r="D22" s="9" t="str">
        <x:v>Secret</x:v>
      </x:c>
      <x:c r="E22" s="13" t="n">
        <x:v>2500000</x:v>
      </x:c>
      <x:c r="F22" s="9" t="str">
        <x:f>"1 in "&amp;TEXT(E22,"#,##0")</x:f>
        <x:v>1 in 2,500,000</x:v>
      </x:c>
      <x:c r="G22" s="9" t="str">
        <x:v>Pet53</x:v>
      </x:c>
      <x:c r="H22" s="9" t="str">
        <x:f>VLOOKUP(G22,'Pets'!$B$2:$E$107,2,FALSE)</x:f>
        <x:v>Unicorn</x:v>
      </x:c>
      <x:c r="I22" s="13" t="n">
        <x:f>VLOOKUP(G22,'Pets'!$B$2:$E$107,4,FALSE)</x:f>
        <x:v>1000</x:v>
      </x:c>
      <x:c r="J22" s="13" t="n">
        <x:v>2</x:v>
      </x:c>
      <x:c r="K22" s="13" t="n">
        <x:f>I22*60*J22</x:f>
        <x:v>120000</x:v>
      </x:c>
      <x:c r="L22" s="13" t="n">
        <x:v>120000</x:v>
      </x:c>
      <x:c r="M22" s="13" t="n">
        <x:f>L22-K22</x:f>
        <x:v>0</x:v>
      </x:c>
      <x:c r="N22" s="29" t="n">
        <x:v>21600</x:v>
      </x:c>
    </x:row>
    <x:row r="23" ht="15.75" customHeight="1">
      <x:c r="A23" s="9" t="str">
        <x:v>GoldenCactusSeed</x:v>
      </x:c>
      <x:c r="B23" s="9" t="str">
        <x:v>Golden Cactus Seed</x:v>
      </x:c>
      <x:c r="C23" s="9" t="str">
        <x:v>GoldenCactus</x:v>
      </x:c>
      <x:c r="D23" s="9" t="str">
        <x:v>Secret</x:v>
      </x:c>
      <x:c r="E23" s="13" t="n">
        <x:v>5000000</x:v>
      </x:c>
      <x:c r="F23" s="9" t="str">
        <x:f>"1 in "&amp;TEXT(E23,"#,##0")</x:f>
        <x:v>1 in 5,000,000</x:v>
      </x:c>
      <x:c r="G23" s="9" t="str">
        <x:v>Pet65</x:v>
      </x:c>
      <x:c r="H23" s="9" t="str">
        <x:f>VLOOKUP(G23,'Pets'!$B$2:$E$107,2,FALSE)</x:f>
        <x:v>Golden Bull</x:v>
      </x:c>
      <x:c r="I23" s="13" t="n">
        <x:f>VLOOKUP(G23,'Pets'!$B$2:$E$107,4,FALSE)</x:f>
        <x:v>1800</x:v>
      </x:c>
      <x:c r="J23" s="13" t="n">
        <x:f>'Assumptions'!$B$2</x:f>
        <x:v>3</x:v>
      </x:c>
      <x:c r="K23" s="13" t="n">
        <x:f>I23*60*J23</x:f>
        <x:v>324000</x:v>
      </x:c>
      <x:c r="L23" s="13" t="n">
        <x:v>325000</x:v>
      </x:c>
      <x:c r="M23" s="13" t="n">
        <x:f>L23-K23</x:f>
        <x:v>1000</x:v>
      </x:c>
      <x:c r="N23" s="29" t="n">
        <x:v>28800</x:v>
      </x:c>
    </x:row>
    <x:row r="24" ht="15.75" customHeight="1">
      <x:c r="A24" s="9" t="str">
        <x:v>GoldenFigTreeSeed</x:v>
      </x:c>
      <x:c r="B24" s="9" t="str">
        <x:v>Golden Fig Tree Seed</x:v>
      </x:c>
      <x:c r="C24" s="9" t="str">
        <x:v>GoldenFigTree</x:v>
      </x:c>
      <x:c r="D24" s="9" t="str">
        <x:v>Secret</x:v>
      </x:c>
      <x:c r="E24" s="13" t="n">
        <x:v>7500000</x:v>
      </x:c>
      <x:c r="F24" s="9" t="str">
        <x:f>"1 in "&amp;TEXT(E24,"#,##0")</x:f>
        <x:v>1 in 7,500,000</x:v>
      </x:c>
      <x:c r="G24" s="9" t="str">
        <x:v>Pet75</x:v>
      </x:c>
      <x:c r="H24" s="9" t="str">
        <x:f>VLOOKUP(G24,'Pets'!$B$2:$E$107,2,FALSE)</x:f>
        <x:v>Golden Crab</x:v>
      </x:c>
      <x:c r="I24" s="13" t="n">
        <x:f>VLOOKUP(G24,'Pets'!$B$2:$E$107,4,FALSE)</x:f>
        <x:v>2900</x:v>
      </x:c>
      <x:c r="J24" s="13" t="n">
        <x:f>'Assumptions'!$B$2</x:f>
        <x:v>3</x:v>
      </x:c>
      <x:c r="K24" s="13" t="n">
        <x:f>I24*60*J24</x:f>
        <x:v>522000</x:v>
      </x:c>
      <x:c r="L24" s="13" t="n">
        <x:v>525000</x:v>
      </x:c>
      <x:c r="M24" s="13" t="n">
        <x:f>L24-K24</x:f>
        <x:v>3000</x:v>
      </x:c>
      <x:c r="N24" s="29" t="n">
        <x:v>36000</x:v>
      </x:c>
    </x:row>
    <x:row r="25" ht="15.75" customHeight="1">
      <x:c r="A25" s="9" t="str">
        <x:v>GoldenDragonfruitSeed</x:v>
      </x:c>
      <x:c r="B25" s="9" t="str">
        <x:v>Golden Dragonfruit Seed</x:v>
      </x:c>
      <x:c r="C25" s="9" t="str">
        <x:v>GoldenDragonfruitTree</x:v>
      </x:c>
      <x:c r="D25" s="9" t="str">
        <x:v>Secret</x:v>
      </x:c>
      <x:c r="E25" s="13" t="n">
        <x:v>15000000</x:v>
      </x:c>
      <x:c r="F25" s="9" t="str">
        <x:f>"1 in "&amp;TEXT(E25,"#,##0")</x:f>
        <x:v>1 in 15,000,000</x:v>
      </x:c>
      <x:c r="G25" s="9" t="str">
        <x:v>Pet86</x:v>
      </x:c>
      <x:c r="H25" s="9" t="str">
        <x:f>VLOOKUP(G25,'Pets'!$B$2:$E$107,2,FALSE)</x:f>
        <x:v>Golden Bear</x:v>
      </x:c>
      <x:c r="I25" s="13" t="n">
        <x:f>VLOOKUP(G25,'Pets'!$B$2:$E$107,4,FALSE)</x:f>
        <x:v>5000</x:v>
      </x:c>
      <x:c r="J25" s="13" t="n">
        <x:f>'Assumptions'!$B$2</x:f>
        <x:v>3</x:v>
      </x:c>
      <x:c r="K25" s="13" t="n">
        <x:f>I25*60*J25</x:f>
        <x:v>900000</x:v>
      </x:c>
      <x:c r="L25" s="13" t="n">
        <x:v>900000</x:v>
      </x:c>
      <x:c r="M25" s="13" t="n">
        <x:f>L25-K25</x:f>
        <x:v>0</x:v>
      </x:c>
      <x:c r="N25" s="29" t="n">
        <x:v>43200</x:v>
      </x:c>
    </x:row>
    <x:row r="26" ht="15.75" customHeight="1">
      <x:c r="A26" s="9" t="str">
        <x:v>GoldshroomSeed</x:v>
      </x:c>
      <x:c r="B26" s="9" t="str">
        <x:v>Goldshroom Seed</x:v>
      </x:c>
      <x:c r="C26" s="9" t="str">
        <x:v>GoldshroomPatch</x:v>
      </x:c>
      <x:c r="D26" s="9" t="str">
        <x:v>Secret</x:v>
      </x:c>
      <x:c r="E26" s="13" t="n">
        <x:v>25000000</x:v>
      </x:c>
      <x:c r="F26" s="9" t="str">
        <x:f>"1 in "&amp;TEXT(E26,"#,##0")</x:f>
        <x:v>1 in 25,000,000</x:v>
      </x:c>
      <x:c r="G26" s="9" t="str">
        <x:v>Pet96</x:v>
      </x:c>
      <x:c r="H26" s="9" t="str">
        <x:f>VLOOKUP(G26,'Pets'!$B$2:$E$107,2,FALSE)</x:f>
        <x:v>Golden Ankylosaurus</x:v>
      </x:c>
      <x:c r="I26" s="13" t="n">
        <x:f>VLOOKUP(G26,'Pets'!$B$2:$E$107,4,FALSE)</x:f>
        <x:v>8100</x:v>
      </x:c>
      <x:c r="J26" s="13" t="n">
        <x:f>'Assumptions'!$B$2</x:f>
        <x:v>3</x:v>
      </x:c>
      <x:c r="K26" s="13" t="n">
        <x:f>I26*60*J26</x:f>
        <x:v>1458000</x:v>
      </x:c>
      <x:c r="L26" s="13" t="n">
        <x:v>1500000</x:v>
      </x:c>
      <x:c r="M26" s="13" t="n">
        <x:f>L26-K26</x:f>
        <x:v>42000</x:v>
      </x:c>
      <x:c r="N26" s="29" t="n">
        <x:v>3</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4.5" defaultRowHeight="15"/>
  <x:cols>
    <x:col min="1" max="1" width="10" style="19" hidden="0" customWidth="1"/>
    <x:col min="2" max="2" width="16" style="19" hidden="0" customWidth="1"/>
    <x:col min="3" max="3" width="22" style="19" hidden="0" customWidth="1"/>
    <x:col min="4" max="4" width="20" style="19" hidden="0" customWidth="1"/>
    <x:col min="5" max="5" width="20" style="19" hidden="0" customWidth="1"/>
    <x:col min="6" max="6" width="20" style="19" hidden="0" customWidth="1"/>
    <x:col min="7" max="16384" width="14.5" style="19" customWidth="1"/>
    <x:col min="7" max="7" width="20" hidden="0" customWidth="1"/>
    <x:col min="8" max="8" width="30" hidden="0" customWidth="1"/>
    <x:col min="9" max="9" width="30" hidden="0" customWidth="1"/>
  </x:cols>
  <x:sheetData>
    <x:row r="1" ht="13.550000190734863" customHeight="1">
      <x:c r="A1" s="28" t="str">
        <x:v>Level</x:v>
      </x:c>
      <x:c r="B1" s="28" t="str">
        <x:v>LuckPercent</x:v>
      </x:c>
      <x:c r="C1" s="28" t="str">
        <x:v>EffectiveLuckMultiplier</x:v>
      </x:c>
      <x:c r="D1" s="28" t="str">
        <x:v>LatePriceMultiplier</x:v>
      </x:c>
      <x:c r="E1" s="28" t="str">
        <x:v>RawFormulaPrice</x:v>
      </x:c>
      <x:c r="F1" s="28" t="str">
        <x:v>CurrentPrice</x:v>
      </x:c>
      <x:c r="G1" s="28" t="str">
        <x:v>CumulativePrice</x:v>
      </x:c>
      <x:c r="H1" s="28" t="str">
        <x:v>CumulativeHoursAtGoldenEntry</x:v>
      </x:c>
      <x:c r="I1" s="28" t="str">
        <x:v>CumulativeHoursAtGoldenCap</x:v>
      </x:c>
    </x:row>
    <x:row r="2" ht="13.550000190734863" customHeight="1">
      <x:c r="A2" s="29" t="n">
        <x:v>1</x:v>
      </x:c>
      <x:c r="B2" s="29" t="n">
        <x:f>A2*'Assumptions'!$B$11</x:f>
        <x:v>5</x:v>
      </x:c>
      <x:c r="C2" s="33" t="n">
        <x:f>1+B2/100</x:f>
        <x:v>1.05</x:v>
      </x:c>
      <x:c r="D2" s="33" t="n">
        <x:f>IF(A2&lt;='Assumptions'!$B$10,1,1+('Assumptions'!$B$14-1)*(A2-'Assumptions'!$B$10)/(MAX($A$2:$A$201)-'Assumptions'!$B$10))</x:f>
        <x:v>1</x:v>
      </x:c>
      <x:c r="E2" s="29" t="n">
        <x:f>IF(A2&lt;='Assumptions'!$B$10,'Assumptions'!$B$6*A2^2*(1+'Assumptions'!$B$7*(A2/'Assumptions'!$B$10)^'Assumptions'!$B$8),$F$101*(A2/'Assumptions'!$B$10)^'Assumptions'!$B$12*D2)</x:f>
        <x:v>35.00017708754897</x:v>
      </x:c>
      <x:c r="F2" s="29" t="n">
        <x:v>100</x:v>
      </x:c>
      <x:c r="G2" s="29" t="n">
        <x:f>SUM($F$2:F2)</x:f>
        <x:v>100</x:v>
      </x:c>
      <x:c r="H2" s="34" t="n">
        <x:f>G2/'Assumptions'!$B$9/3600</x:f>
        <x:v>0.000003429355281207133</x:v>
      </x:c>
      <x:c r="I2" s="34" t="n">
        <x:f>G2/'Assumptions'!$B$5/3600</x:f>
        <x:v>0.00000205761316872428</x:v>
      </x:c>
    </x:row>
    <x:row r="3" ht="13.550000190734863" customHeight="1">
      <x:c r="A3" s="29" t="n">
        <x:v>2</x:v>
      </x:c>
      <x:c r="B3" s="29" t="n">
        <x:f>A3*'Assumptions'!$B$11</x:f>
        <x:v>10</x:v>
      </x:c>
      <x:c r="C3" s="33" t="n">
        <x:f>1+B3/100</x:f>
        <x:v>1.1</x:v>
      </x:c>
      <x:c r="D3" s="33" t="n">
        <x:f>IF(A3&lt;='Assumptions'!$B$10,1,1+('Assumptions'!$B$14-1)*(A3-'Assumptions'!$B$10)/(MAX($A$2:$A$201)-'Assumptions'!$B$10))</x:f>
        <x:v>1</x:v>
      </x:c>
      <x:c r="E3" s="29" t="n">
        <x:f>IF(A3&lt;='Assumptions'!$B$10,'Assumptions'!$B$6*A3^2*(1+'Assumptions'!$B$7*(A3/'Assumptions'!$B$10)^'Assumptions'!$B$8),$F$101*(A3/'Assumptions'!$B$10)^'Assumptions'!$B$12*D3)</x:f>
        <x:v>140.0067390007428</x:v>
      </x:c>
      <x:c r="F3" s="29" t="n">
        <x:v>150</x:v>
      </x:c>
      <x:c r="G3" s="29" t="n">
        <x:f>SUM($F$2:F3)</x:f>
        <x:v>250</x:v>
      </x:c>
      <x:c r="H3" s="34" t="n">
        <x:f>G3/'Assumptions'!$B$9/3600</x:f>
        <x:v>0.000008573388203017831</x:v>
      </x:c>
      <x:c r="I3" s="34" t="n">
        <x:f>G3/'Assumptions'!$B$5/3600</x:f>
        <x:v>0.000005144032921810699</x:v>
      </x:c>
    </x:row>
    <x:row r="4" ht="13.550000190734863" customHeight="1">
      <x:c r="A4" s="29" t="n">
        <x:v>3</x:v>
      </x:c>
      <x:c r="B4" s="29" t="n">
        <x:f>A4*'Assumptions'!$B$11</x:f>
        <x:v>15</x:v>
      </x:c>
      <x:c r="C4" s="33" t="n">
        <x:f>1+B4/100</x:f>
        <x:v>1.15</x:v>
      </x:c>
      <x:c r="D4" s="33" t="n">
        <x:f>IF(A4&lt;='Assumptions'!$B$10,1,1+('Assumptions'!$B$14-1)*(A4-'Assumptions'!$B$10)/(MAX($A$2:$A$201)-'Assumptions'!$B$10))</x:f>
        <x:v>1</x:v>
      </x:c>
      <x:c r="E4" s="29" t="n">
        <x:f>IF(A4&lt;='Assumptions'!$B$10,'Assumptions'!$B$6*A4^2*(1+'Assumptions'!$B$7*(A4/'Assumptions'!$B$10)^'Assumptions'!$B$8),$F$101*(A4/'Assumptions'!$B$10)^'Assumptions'!$B$12*D4)</x:f>
        <x:v>315.0566336580555</x:v>
      </x:c>
      <x:c r="F4" s="29" t="n">
        <x:v>300</x:v>
      </x:c>
      <x:c r="G4" s="29" t="n">
        <x:f>SUM($F$2:F4)</x:f>
        <x:v>550</x:v>
      </x:c>
      <x:c r="H4" s="34" t="n">
        <x:f>G4/'Assumptions'!$B$9/3600</x:f>
        <x:v>0.00001886145404663923</x:v>
      </x:c>
      <x:c r="I4" s="34" t="n">
        <x:f>G4/'Assumptions'!$B$5/3600</x:f>
        <x:v>0.00001131687242798354</x:v>
      </x:c>
    </x:row>
    <x:row r="5" ht="13.550000190734863" customHeight="1">
      <x:c r="A5" s="29" t="n">
        <x:v>4</x:v>
      </x:c>
      <x:c r="B5" s="29" t="n">
        <x:f>A5*'Assumptions'!$B$11</x:f>
        <x:v>20</x:v>
      </x:c>
      <x:c r="C5" s="33" t="n">
        <x:f>1+B5/100</x:f>
        <x:v>1.2</x:v>
      </x:c>
      <x:c r="D5" s="33" t="n">
        <x:f>IF(A5&lt;='Assumptions'!$B$10,1,1+('Assumptions'!$B$14-1)*(A5-'Assumptions'!$B$10)/(MAX($A$2:$A$201)-'Assumptions'!$B$10))</x:f>
        <x:v>1</x:v>
      </x:c>
      <x:c r="E5" s="29" t="n">
        <x:f>IF(A5&lt;='Assumptions'!$B$10,'Assumptions'!$B$6*A5^2*(1+'Assumptions'!$B$7*(A5/'Assumptions'!$B$10)^'Assumptions'!$B$8),$F$101*(A5/'Assumptions'!$B$10)^'Assumptions'!$B$12*D5)</x:f>
        <x:v>560.2564501642036</x:v>
      </x:c>
      <x:c r="F5" s="29" t="n">
        <x:v>550</x:v>
      </x:c>
      <x:c r="G5" s="29" t="n">
        <x:f>SUM($F$2:F5)</x:f>
        <x:v>1100</x:v>
      </x:c>
      <x:c r="H5" s="34" t="n">
        <x:f>G5/'Assumptions'!$B$9/3600</x:f>
        <x:v>0.00003772290809327846</x:v>
      </x:c>
      <x:c r="I5" s="34" t="n">
        <x:f>G5/'Assumptions'!$B$5/3600</x:f>
        <x:v>0.00002263374485596708</x:v>
      </x:c>
    </x:row>
    <x:row r="6" ht="13.550000190734863" customHeight="1">
      <x:c r="A6" s="29" t="n">
        <x:v>5</x:v>
      </x:c>
      <x:c r="B6" s="29" t="n">
        <x:f>A6*'Assumptions'!$B$11</x:f>
        <x:v>25</x:v>
      </x:c>
      <x:c r="C6" s="33" t="n">
        <x:f>1+B6/100</x:f>
        <x:v>1.25</x:v>
      </x:c>
      <x:c r="D6" s="33" t="n">
        <x:f>IF(A6&lt;='Assumptions'!$B$10,1,1+('Assumptions'!$B$14-1)*(A6-'Assumptions'!$B$10)/(MAX($A$2:$A$201)-'Assumptions'!$B$10))</x:f>
        <x:v>1</x:v>
      </x:c>
      <x:c r="E6" s="29" t="n">
        <x:f>IF(A6&lt;='Assumptions'!$B$10,'Assumptions'!$B$6*A6^2*(1+'Assumptions'!$B$7*(A6/'Assumptions'!$B$10)^'Assumptions'!$B$8),$F$101*(A6/'Assumptions'!$B$10)^'Assumptions'!$B$12*D6)</x:f>
        <x:v>875.8275239078777</x:v>
      </x:c>
      <x:c r="F6" s="29" t="n">
        <x:v>900</x:v>
      </x:c>
      <x:c r="G6" s="29" t="n">
        <x:f>SUM($F$2:F6)</x:f>
        <x:v>2000</x:v>
      </x:c>
      <x:c r="H6" s="34" t="n">
        <x:f>G6/'Assumptions'!$B$9/3600</x:f>
        <x:v>0.00006858710562414265</x:v>
      </x:c>
      <x:c r="I6" s="34" t="n">
        <x:f>G6/'Assumptions'!$B$5/3600</x:f>
        <x:v>0.00004115226337448559</x:v>
      </x:c>
    </x:row>
    <x:row r="7" ht="13.550000190734863" customHeight="1">
      <x:c r="A7" s="29" t="n">
        <x:v>6</x:v>
      </x:c>
      <x:c r="B7" s="29" t="n">
        <x:f>A7*'Assumptions'!$B$11</x:f>
        <x:v>30</x:v>
      </x:c>
      <x:c r="C7" s="33" t="n">
        <x:f>1+B7/100</x:f>
        <x:v>1.3</x:v>
      </x:c>
      <x:c r="D7" s="33" t="n">
        <x:f>IF(A7&lt;='Assumptions'!$B$10,1,1+('Assumptions'!$B$14-1)*(A7-'Assumptions'!$B$10)/(MAX($A$2:$A$201)-'Assumptions'!$B$10))</x:f>
        <x:v>1</x:v>
      </x:c>
      <x:c r="E7" s="29" t="n">
        <x:f>IF(A7&lt;='Assumptions'!$B$10,'Assumptions'!$B$6*A7^2*(1+'Assumptions'!$B$7*(A7/'Assumptions'!$B$10)^'Assumptions'!$B$8),$F$101*(A7/'Assumptions'!$B$10)^'Assumptions'!$B$12*D7)</x:f>
        <x:v>1262.155172771464</x:v>
      </x:c>
      <x:c r="F7" s="29" t="n">
        <x:v>1250</x:v>
      </x:c>
      <x:c r="G7" s="29" t="n">
        <x:f>SUM($F$2:F7)</x:f>
        <x:v>3250</x:v>
      </x:c>
      <x:c r="H7" s="34" t="n">
        <x:f>G7/'Assumptions'!$B$9/3600</x:f>
        <x:v>0.00011145404663923183</x:v>
      </x:c>
      <x:c r="I7" s="34" t="n">
        <x:f>G7/'Assumptions'!$B$5/3600</x:f>
        <x:v>0.00006687242798353909</x:v>
      </x:c>
    </x:row>
    <x:row r="8" ht="13.550000190734863" customHeight="1">
      <x:c r="A8" s="29" t="n">
        <x:v>7</x:v>
      </x:c>
      <x:c r="B8" s="29" t="n">
        <x:f>A8*'Assumptions'!$B$11</x:f>
        <x:v>35</x:v>
      </x:c>
      <x:c r="C8" s="33" t="n">
        <x:f>1+B8/100</x:f>
        <x:v>1.35</x:v>
      </x:c>
      <x:c r="D8" s="33" t="n">
        <x:f>IF(A8&lt;='Assumptions'!$B$10,1,1+('Assumptions'!$B$14-1)*(A8-'Assumptions'!$B$10)/(MAX($A$2:$A$201)-'Assumptions'!$B$10))</x:f>
        <x:v>1</x:v>
      </x:c>
      <x:c r="E8" s="29" t="n">
        <x:f>IF(A8&lt;='Assumptions'!$B$10,'Assumptions'!$B$6*A8^2*(1+'Assumptions'!$B$7*(A8/'Assumptions'!$B$10)^'Assumptions'!$B$8),$F$101*(A8/'Assumptions'!$B$10)^'Assumptions'!$B$12*D8)</x:f>
        <x:v>1719.8411967947682</x:v>
      </x:c>
      <x:c r="F8" s="29" t="n">
        <x:v>1750</x:v>
      </x:c>
      <x:c r="G8" s="29" t="n">
        <x:f>SUM($F$2:F8)</x:f>
        <x:v>5000</x:v>
      </x:c>
      <x:c r="H8" s="34" t="n">
        <x:f>G8/'Assumptions'!$B$9/3600</x:f>
        <x:v>0.00017146776406035664</x:v>
      </x:c>
      <x:c r="I8" s="34" t="n">
        <x:f>G8/'Assumptions'!$B$5/3600</x:f>
        <x:v>0.00010288065843621399</x:v>
      </x:c>
    </x:row>
    <x:row r="9" ht="13.550000190734863" customHeight="1">
      <x:c r="A9" s="29" t="n">
        <x:v>8</x:v>
      </x:c>
      <x:c r="B9" s="29" t="n">
        <x:f>A9*'Assumptions'!$B$11</x:f>
        <x:v>40</x:v>
      </x:c>
      <x:c r="C9" s="33" t="n">
        <x:f>1+B9/100</x:f>
        <x:v>1.4</x:v>
      </x:c>
      <x:c r="D9" s="33" t="n">
        <x:f>IF(A9&lt;='Assumptions'!$B$10,1,1+('Assumptions'!$B$14-1)*(A9-'Assumptions'!$B$10)/(MAX($A$2:$A$201)-'Assumptions'!$B$10))</x:f>
        <x:v>1</x:v>
      </x:c>
      <x:c r="E9" s="29" t="n">
        <x:f>IF(A9&lt;='Assumptions'!$B$10,'Assumptions'!$B$6*A9^2*(1+'Assumptions'!$B$7*(A9/'Assumptions'!$B$10)^'Assumptions'!$B$8),$F$101*(A9/'Assumptions'!$B$10)^'Assumptions'!$B$12*D9)</x:f>
        <x:v>2249.7591155172613</x:v>
      </x:c>
      <x:c r="F9" s="29" t="n">
        <x:v>2250</x:v>
      </x:c>
      <x:c r="G9" s="29" t="n">
        <x:f>SUM($F$2:F9)</x:f>
        <x:v>7250</x:v>
      </x:c>
      <x:c r="H9" s="34" t="n">
        <x:f>G9/'Assumptions'!$B$9/3600</x:f>
        <x:v>0.00024862825788751715</x:v>
      </x:c>
      <x:c r="I9" s="34" t="n">
        <x:f>G9/'Assumptions'!$B$5/3600</x:f>
        <x:v>0.0001491769547325103</x:v>
      </x:c>
    </x:row>
    <x:row r="10" ht="13.550000190734863" customHeight="1">
      <x:c r="A10" s="29" t="n">
        <x:v>9</x:v>
      </x:c>
      <x:c r="B10" s="29" t="n">
        <x:f>A10*'Assumptions'!$B$11</x:f>
        <x:v>45</x:v>
      </x:c>
      <x:c r="C10" s="33" t="n">
        <x:f>1+B10/100</x:f>
        <x:v>1.45</x:v>
      </x:c>
      <x:c r="D10" s="33" t="n">
        <x:f>IF(A10&lt;='Assumptions'!$B$10,1,1+('Assumptions'!$B$14-1)*(A10-'Assumptions'!$B$10)/(MAX($A$2:$A$201)-'Assumptions'!$B$10))</x:f>
        <x:v>1</x:v>
      </x:c>
      <x:c r="E10" s="29" t="n">
        <x:f>IF(A10&lt;='Assumptions'!$B$10,'Assumptions'!$B$6*A10^2*(1+'Assumptions'!$B$7*(A10/'Assumptions'!$B$10)^'Assumptions'!$B$8),$F$101*(A10/'Assumptions'!$B$10)^'Assumptions'!$B$12*D10)</x:f>
        <x:v>2853.1117828069487</x:v>
      </x:c>
      <x:c r="F10" s="29" t="n">
        <x:v>2750</x:v>
      </x:c>
      <x:c r="G10" s="29" t="n">
        <x:f>SUM($F$2:F10)</x:f>
        <x:v>10000</x:v>
      </x:c>
      <x:c r="H10" s="34" t="n">
        <x:f>G10/'Assumptions'!$B$9/3600</x:f>
        <x:v>0.0003429355281207133</x:v>
      </x:c>
      <x:c r="I10" s="34" t="n">
        <x:f>G10/'Assumptions'!$B$5/3600</x:f>
        <x:v>0.00020576131687242798</x:v>
      </x:c>
    </x:row>
    <x:row r="11" ht="13.550000190734863" customHeight="1">
      <x:c r="A11" s="29" t="n">
        <x:v>10</x:v>
      </x:c>
      <x:c r="B11" s="29" t="n">
        <x:f>A11*'Assumptions'!$B$11</x:f>
        <x:v>50</x:v>
      </x:c>
      <x:c r="C11" s="33" t="n">
        <x:f>1+B11/100</x:f>
        <x:v>1.5</x:v>
      </x:c>
      <x:c r="D11" s="33" t="n">
        <x:f>IF(A11&lt;='Assumptions'!$B$10,1,1+('Assumptions'!$B$14-1)*(A11-'Assumptions'!$B$10)/(MAX($A$2:$A$201)-'Assumptions'!$B$10))</x:f>
        <x:v>1</x:v>
      </x:c>
      <x:c r="E11" s="29" t="n">
        <x:f>IF(A11&lt;='Assumptions'!$B$10,'Assumptions'!$B$6*A11^2*(1+'Assumptions'!$B$7*(A11/'Assumptions'!$B$10)^'Assumptions'!$B$8),$F$101*(A11/'Assumptions'!$B$10)^'Assumptions'!$B$12*D11)</x:f>
        <x:v>3531.49111421066</x:v>
      </x:c>
      <x:c r="F11" s="29" t="n">
        <x:v>3500</x:v>
      </x:c>
      <x:c r="G11" s="29" t="n">
        <x:f>SUM($F$2:F11)</x:f>
        <x:v>13500</x:v>
      </x:c>
      <x:c r="H11" s="34" t="n">
        <x:f>G11/'Assumptions'!$B$9/3600</x:f>
        <x:v>0.000462962962962963</x:v>
      </x:c>
      <x:c r="I11" s="34" t="n">
        <x:f>G11/'Assumptions'!$B$5/3600</x:f>
        <x:v>0.0002777777777777778</x:v>
      </x:c>
    </x:row>
    <x:row r="12" ht="13.550000190734863" customHeight="1">
      <x:c r="A12" s="29" t="n">
        <x:v>11</x:v>
      </x:c>
      <x:c r="B12" s="29" t="n">
        <x:f>A12*'Assumptions'!$B$11</x:f>
        <x:v>55</x:v>
      </x:c>
      <x:c r="C12" s="33" t="n">
        <x:f>1+B12/100</x:f>
        <x:v>1.55</x:v>
      </x:c>
      <x:c r="D12" s="33" t="n">
        <x:f>IF(A12&lt;='Assumptions'!$B$10,1,1+('Assumptions'!$B$14-1)*(A12-'Assumptions'!$B$10)/(MAX($A$2:$A$201)-'Assumptions'!$B$10))</x:f>
        <x:v>1</x:v>
      </x:c>
      <x:c r="E12" s="29" t="n">
        <x:f>IF(A12&lt;='Assumptions'!$B$10,'Assumptions'!$B$6*A12^2*(1+'Assumptions'!$B$7*(A12/'Assumptions'!$B$10)^'Assumptions'!$B$8),$F$101*(A12/'Assumptions'!$B$10)^'Assumptions'!$B$12*D12)</x:f>
        <x:v>4286.939722393115</x:v>
      </x:c>
      <x:c r="F12" s="29" t="n">
        <x:v>4250</x:v>
      </x:c>
      <x:c r="G12" s="29" t="n">
        <x:f>SUM($F$2:F12)</x:f>
        <x:v>17750</x:v>
      </x:c>
      <x:c r="H12" s="34" t="n">
        <x:f>G12/'Assumptions'!$B$9/3600</x:f>
        <x:v>0.0006087105624142661</x:v>
      </x:c>
      <x:c r="I12" s="34" t="n">
        <x:f>G12/'Assumptions'!$B$5/3600</x:f>
        <x:v>0.00036522633744855967</x:v>
      </x:c>
    </x:row>
    <x:row r="13" ht="13.550000190734863" customHeight="1">
      <x:c r="A13" s="29" t="n">
        <x:v>12</x:v>
      </x:c>
      <x:c r="B13" s="29" t="n">
        <x:f>A13*'Assumptions'!$B$11</x:f>
        <x:v>60</x:v>
      </x:c>
      <x:c r="C13" s="33" t="n">
        <x:f>1+B13/100</x:f>
        <x:v>1.6</x:v>
      </x:c>
      <x:c r="D13" s="33" t="n">
        <x:f>IF(A13&lt;='Assumptions'!$B$10,1,1+('Assumptions'!$B$14-1)*(A13-'Assumptions'!$B$10)/(MAX($A$2:$A$201)-'Assumptions'!$B$10))</x:f>
        <x:v>1</x:v>
      </x:c>
      <x:c r="E13" s="29" t="n">
        <x:f>IF(A13&lt;='Assumptions'!$B$10,'Assumptions'!$B$6*A13^2*(1+'Assumptions'!$B$7*(A13/'Assumptions'!$B$10)^'Assumptions'!$B$8),$F$101*(A13/'Assumptions'!$B$10)^'Assumptions'!$B$12*D13)</x:f>
        <x:v>5122.014297404326</x:v>
      </x:c>
      <x:c r="F13" s="29" t="n">
        <x:v>5000</x:v>
      </x:c>
      <x:c r="G13" s="29" t="n">
        <x:f>SUM($F$2:F13)</x:f>
        <x:v>22750</x:v>
      </x:c>
      <x:c r="H13" s="34" t="n">
        <x:f>G13/'Assumptions'!$B$9/3600</x:f>
        <x:v>0.0007801783264746228</x:v>
      </x:c>
      <x:c r="I13" s="34" t="n">
        <x:f>G13/'Assumptions'!$B$5/3600</x:f>
        <x:v>0.00046810699588477366</x:v>
      </x:c>
    </x:row>
    <x:row r="14" ht="13.550000190734863" customHeight="1">
      <x:c r="A14" s="29" t="n">
        <x:v>13</x:v>
      </x:c>
      <x:c r="B14" s="29" t="n">
        <x:f>A14*'Assumptions'!$B$11</x:f>
        <x:v>65</x:v>
      </x:c>
      <x:c r="C14" s="33" t="n">
        <x:f>1+B14/100</x:f>
        <x:v>1.65</x:v>
      </x:c>
      <x:c r="D14" s="33" t="n">
        <x:f>IF(A14&lt;='Assumptions'!$B$10,1,1+('Assumptions'!$B$14-1)*(A14-'Assumptions'!$B$10)/(MAX($A$2:$A$201)-'Assumptions'!$B$10))</x:f>
        <x:v>1</x:v>
      </x:c>
      <x:c r="E14" s="29" t="n">
        <x:f>IF(A14&lt;='Assumptions'!$B$10,'Assumptions'!$B$6*A14^2*(1+'Assumptions'!$B$7*(A14/'Assumptions'!$B$10)^'Assumptions'!$B$8),$F$101*(A14/'Assumptions'!$B$10)^'Assumptions'!$B$12*D14)</x:f>
        <x:v>6039.850597934947</x:v>
      </x:c>
      <x:c r="F14" s="29" t="n">
        <x:v>6000</x:v>
      </x:c>
      <x:c r="G14" s="29" t="n">
        <x:f>SUM($F$2:F14)</x:f>
        <x:v>28750</x:v>
      </x:c>
      <x:c r="H14" s="34" t="n">
        <x:f>G14/'Assumptions'!$B$9/3600</x:f>
        <x:v>0.000985939643347051</x:v>
      </x:c>
      <x:c r="I14" s="34" t="n">
        <x:f>G14/'Assumptions'!$B$5/3600</x:f>
        <x:v>0.0005915637860082305</x:v>
      </x:c>
    </x:row>
    <x:row r="15" ht="13.550000190734863" customHeight="1">
      <x:c r="A15" s="29" t="n">
        <x:v>14</x:v>
      </x:c>
      <x:c r="B15" s="29" t="n">
        <x:f>A15*'Assumptions'!$B$11</x:f>
        <x:v>70</x:v>
      </x:c>
      <x:c r="C15" s="33" t="n">
        <x:f>1+B15/100</x:f>
        <x:v>1.7</x:v>
      </x:c>
      <x:c r="D15" s="33" t="n">
        <x:f>IF(A15&lt;='Assumptions'!$B$10,1,1+('Assumptions'!$B$14-1)*(A15-'Assumptions'!$B$10)/(MAX($A$2:$A$201)-'Assumptions'!$B$10))</x:f>
        <x:v>1</x:v>
      </x:c>
      <x:c r="E15" s="29" t="n">
        <x:f>IF(A15&lt;='Assumptions'!$B$10,'Assumptions'!$B$6*A15^2*(1+'Assumptions'!$B$7*(A15/'Assumptions'!$B$10)^'Assumptions'!$B$8),$F$101*(A15/'Assumptions'!$B$10)^'Assumptions'!$B$12*D15)</x:f>
        <x:v>7044.229941550939</x:v>
      </x:c>
      <x:c r="F15" s="29" t="n">
        <x:v>7000</x:v>
      </x:c>
      <x:c r="G15" s="29" t="n">
        <x:f>SUM($F$2:F15)</x:f>
        <x:v>35750</x:v>
      </x:c>
      <x:c r="H15" s="34" t="n">
        <x:f>G15/'Assumptions'!$B$9/3600</x:f>
        <x:v>0.00122599451303155</x:v>
      </x:c>
      <x:c r="I15" s="34" t="n">
        <x:f>G15/'Assumptions'!$B$5/3600</x:f>
        <x:v>0.0007355967078189301</x:v>
      </x:c>
    </x:row>
    <x:row r="16" ht="13.550000190734863" customHeight="1">
      <x:c r="A16" s="29" t="n">
        <x:v>15</x:v>
      </x:c>
      <x:c r="B16" s="29" t="n">
        <x:f>A16*'Assumptions'!$B$11</x:f>
        <x:v>75</x:v>
      </x:c>
      <x:c r="C16" s="33" t="n">
        <x:f>1+B16/100</x:f>
        <x:v>1.75</x:v>
      </x:c>
      <x:c r="D16" s="33" t="n">
        <x:f>IF(A16&lt;='Assumptions'!$B$10,1,1+('Assumptions'!$B$14-1)*(A16-'Assumptions'!$B$10)/(MAX($A$2:$A$201)-'Assumptions'!$B$10))</x:f>
        <x:v>1</x:v>
      </x:c>
      <x:c r="E16" s="29" t="n">
        <x:f>IF(A16&lt;='Assumptions'!$B$10,'Assumptions'!$B$6*A16^2*(1+'Assumptions'!$B$7*(A16/'Assumptions'!$B$10)^'Assumptions'!$B$8),$F$101*(A16/'Assumptions'!$B$10)^'Assumptions'!$B$12*D16)</x:f>
        <x:v>8139.647098591925</x:v>
      </x:c>
      <x:c r="F16" s="29" t="n">
        <x:v>8250</x:v>
      </x:c>
      <x:c r="G16" s="29" t="n">
        <x:f>SUM($F$2:F16)</x:f>
        <x:v>44000</x:v>
      </x:c>
      <x:c r="H16" s="34" t="n">
        <x:f>G16/'Assumptions'!$B$9/3600</x:f>
        <x:v>0.0015089163237311386</x:v>
      </x:c>
      <x:c r="I16" s="34" t="n">
        <x:f>G16/'Assumptions'!$B$5/3600</x:f>
        <x:v>0.0009053497942386831</x:v>
      </x:c>
    </x:row>
    <x:row r="17" ht="13.550000190734863" customHeight="1">
      <x:c r="A17" s="29" t="n">
        <x:v>16</x:v>
      </x:c>
      <x:c r="B17" s="29" t="n">
        <x:f>A17*'Assumptions'!$B$11</x:f>
        <x:v>80</x:v>
      </x:c>
      <x:c r="C17" s="33" t="n">
        <x:f>1+B17/100</x:f>
        <x:v>1.8</x:v>
      </x:c>
      <x:c r="D17" s="33" t="n">
        <x:f>IF(A17&lt;='Assumptions'!$B$10,1,1+('Assumptions'!$B$14-1)*(A17-'Assumptions'!$B$10)/(MAX($A$2:$A$201)-'Assumptions'!$B$10))</x:f>
        <x:v>1</x:v>
      </x:c>
      <x:c r="E17" s="29" t="n">
        <x:f>IF(A17&lt;='Assumptions'!$B$10,'Assumptions'!$B$6*A17^2*(1+'Assumptions'!$B$7*(A17/'Assumptions'!$B$10)^'Assumptions'!$B$8),$F$101*(A17/'Assumptions'!$B$10)^'Assumptions'!$B$12*D17)</x:f>
        <x:v>9331.379507496338</x:v>
      </x:c>
      <x:c r="F17" s="29" t="n">
        <x:v>9250</x:v>
      </x:c>
      <x:c r="G17" s="29" t="n">
        <x:f>SUM($F$2:F17)</x:f>
        <x:v>53250</x:v>
      </x:c>
      <x:c r="H17" s="34" t="n">
        <x:f>G17/'Assumptions'!$B$9/3600</x:f>
        <x:v>0.0018261316872427984</x:v>
      </x:c>
      <x:c r="I17" s="34" t="n">
        <x:f>G17/'Assumptions'!$B$5/3600</x:f>
        <x:v>0.001095679012345679</x:v>
      </x:c>
    </x:row>
    <x:row r="18" ht="13.550000190734863" customHeight="1">
      <x:c r="A18" s="29" t="n">
        <x:v>17</x:v>
      </x:c>
      <x:c r="B18" s="29" t="n">
        <x:f>A18*'Assumptions'!$B$11</x:f>
        <x:v>85</x:v>
      </x:c>
      <x:c r="C18" s="33" t="n">
        <x:f>1+B18/100</x:f>
        <x:v>1.85</x:v>
      </x:c>
      <x:c r="D18" s="33" t="n">
        <x:f>IF(A18&lt;='Assumptions'!$B$10,1,1+('Assumptions'!$B$14-1)*(A18-'Assumptions'!$B$10)/(MAX($A$2:$A$201)-'Assumptions'!$B$10))</x:f>
        <x:v>1</x:v>
      </x:c>
      <x:c r="E18" s="29" t="n">
        <x:f>IF(A18&lt;='Assumptions'!$B$10,'Assumptions'!$B$6*A18^2*(1+'Assumptions'!$B$7*(A18/'Assumptions'!$B$10)^'Assumptions'!$B$8),$F$101*(A18/'Assumptions'!$B$10)^'Assumptions'!$B$12*D18)</x:f>
        <x:v>10625.557739772783</x:v>
      </x:c>
      <x:c r="F18" s="29" t="n">
        <x:v>11000</x:v>
      </x:c>
      <x:c r="G18" s="29" t="n">
        <x:f>SUM($F$2:F18)</x:f>
        <x:v>64250</x:v>
      </x:c>
      <x:c r="H18" s="34" t="n">
        <x:f>G18/'Assumptions'!$B$9/3600</x:f>
        <x:v>0.002203360768175583</x:v>
      </x:c>
      <x:c r="I18" s="34" t="n">
        <x:f>G18/'Assumptions'!$B$5/3600</x:f>
        <x:v>0.0013220164609053498</x:v>
      </x:c>
    </x:row>
    <x:row r="19" ht="13.550000190734863" customHeight="1">
      <x:c r="A19" s="29" t="n">
        <x:v>18</x:v>
      </x:c>
      <x:c r="B19" s="29" t="n">
        <x:f>A19*'Assumptions'!$B$11</x:f>
        <x:v>90</x:v>
      </x:c>
      <x:c r="C19" s="33" t="n">
        <x:f>1+B19/100</x:f>
        <x:v>1.9</x:v>
      </x:c>
      <x:c r="D19" s="33" t="n">
        <x:f>IF(A19&lt;='Assumptions'!$B$10,1,1+('Assumptions'!$B$14-1)*(A19-'Assumptions'!$B$10)/(MAX($A$2:$A$201)-'Assumptions'!$B$10))</x:f>
        <x:v>1</x:v>
      </x:c>
      <x:c r="E19" s="29" t="n">
        <x:f>IF(A19&lt;='Assumptions'!$B$10,'Assumptions'!$B$6*A19^2*(1+'Assumptions'!$B$7*(A19/'Assumptions'!$B$10)^'Assumptions'!$B$8),$F$101*(A19/'Assumptions'!$B$10)^'Assumptions'!$B$12*D19)</x:f>
        <x:v>12029.237151341033</x:v>
      </x:c>
      <x:c r="F19" s="29" t="n">
        <x:v>12000</x:v>
      </x:c>
      <x:c r="G19" s="29" t="n">
        <x:f>SUM($F$2:F19)</x:f>
        <x:v>76250</x:v>
      </x:c>
      <x:c r="H19" s="34" t="n">
        <x:f>G19/'Assumptions'!$B$9/3600</x:f>
        <x:v>0.002614883401920439</x:v>
      </x:c>
      <x:c r="I19" s="34" t="n">
        <x:f>G19/'Assumptions'!$B$5/3600</x:f>
        <x:v>0.0015689300411522633</x:v>
      </x:c>
    </x:row>
    <x:row r="20" ht="13.550000190734863" customHeight="1">
      <x:c r="A20" s="29" t="n">
        <x:v>19</x:v>
      </x:c>
      <x:c r="B20" s="29" t="n">
        <x:f>A20*'Assumptions'!$B$11</x:f>
        <x:v>95</x:v>
      </x:c>
      <x:c r="C20" s="33" t="n">
        <x:f>1+B20/100</x:f>
        <x:v>1.95</x:v>
      </x:c>
      <x:c r="D20" s="33" t="n">
        <x:f>IF(A20&lt;='Assumptions'!$B$10,1,1+('Assumptions'!$B$14-1)*(A20-'Assumptions'!$B$10)/(MAX($A$2:$A$201)-'Assumptions'!$B$10))</x:f>
        <x:v>1</x:v>
      </x:c>
      <x:c r="E20" s="29" t="n">
        <x:f>IF(A20&lt;='Assumptions'!$B$10,'Assumptions'!$B$6*A20^2*(1+'Assumptions'!$B$7*(A20/'Assumptions'!$B$10)^'Assumptions'!$B$8),$F$101*(A20/'Assumptions'!$B$10)^'Assumptions'!$B$12*D20)</x:f>
        <x:v>13550.470663984002</x:v>
      </x:c>
      <x:c r="F20" s="29" t="n">
        <x:v>14000</x:v>
      </x:c>
      <x:c r="G20" s="29" t="n">
        <x:f>SUM($F$2:F20)</x:f>
        <x:v>90250</x:v>
      </x:c>
      <x:c r="H20" s="34" t="n">
        <x:f>G20/'Assumptions'!$B$9/3600</x:f>
        <x:v>0.0030949931412894375</x:v>
      </x:c>
      <x:c r="I20" s="34" t="n">
        <x:f>G20/'Assumptions'!$B$5/3600</x:f>
        <x:v>0.0018569958847736625</x:v>
      </x:c>
    </x:row>
    <x:row r="21" ht="15.75" customHeight="1">
      <x:c r="A21" s="29" t="n">
        <x:v>20</x:v>
      </x:c>
      <x:c r="B21" s="29" t="n">
        <x:f>A21*'Assumptions'!$B$11</x:f>
        <x:v>100</x:v>
      </x:c>
      <x:c r="C21" s="33" t="n">
        <x:f>1+B21/100</x:f>
        <x:v>2</x:v>
      </x:c>
      <x:c r="D21" s="33" t="n">
        <x:f>IF(A21&lt;='Assumptions'!$B$10,1,1+('Assumptions'!$B$14-1)*(A21-'Assumptions'!$B$10)/(MAX($A$2:$A$201)-'Assumptions'!$B$10))</x:f>
        <x:v>1</x:v>
      </x:c>
      <x:c r="E21" s="29" t="n">
        <x:f>IF(A21&lt;='Assumptions'!$B$10,'Assumptions'!$B$6*A21^2*(1+'Assumptions'!$B$7*(A21/'Assumptions'!$B$10)^'Assumptions'!$B$8),$F$101*(A21/'Assumptions'!$B$10)^'Assumptions'!$B$12*D21)</x:f>
        <x:v>15198.382626517749</x:v>
      </x:c>
      <x:c r="F21" s="29" t="n">
        <x:v>15000</x:v>
      </x:c>
      <x:c r="G21" s="29" t="n">
        <x:f>SUM($F$2:F21)</x:f>
        <x:v>105250</x:v>
      </x:c>
      <x:c r="H21" s="34" t="n">
        <x:f>G21/'Assumptions'!$B$9/3600</x:f>
        <x:v>0.0036093964334705077</x:v>
      </x:c>
      <x:c r="I21" s="34" t="n">
        <x:f>G21/'Assumptions'!$B$5/3600</x:f>
        <x:v>0.0021656378600823046</x:v>
      </x:c>
    </x:row>
    <x:row r="22" ht="15.75" customHeight="1">
      <x:c r="A22" s="29" t="n">
        <x:v>21</x:v>
      </x:c>
      <x:c r="B22" s="29" t="n">
        <x:f>A22*'Assumptions'!$B$11</x:f>
        <x:v>105</x:v>
      </x:c>
      <x:c r="C22" s="33" t="n">
        <x:f>1+B22/100</x:f>
        <x:v>2.05</x:v>
      </x:c>
      <x:c r="D22" s="33" t="n">
        <x:f>IF(A22&lt;='Assumptions'!$B$10,1,1+('Assumptions'!$B$14-1)*(A22-'Assumptions'!$B$10)/(MAX($A$2:$A$201)-'Assumptions'!$B$10))</x:f>
        <x:v>1</x:v>
      </x:c>
      <x:c r="E22" s="29" t="n">
        <x:f>IF(A22&lt;='Assumptions'!$B$10,'Assumptions'!$B$6*A22^2*(1+'Assumptions'!$B$7*(A22/'Assumptions'!$B$10)^'Assumptions'!$B$8),$F$101*(A22/'Assumptions'!$B$10)^'Assumptions'!$B$12*D22)</x:f>
        <x:v>16983.243710243587</x:v>
      </x:c>
      <x:c r="F22" s="29" t="n">
        <x:v>17000</x:v>
      </x:c>
      <x:c r="G22" s="29" t="n">
        <x:f>SUM($F$2:F22)</x:f>
        <x:v>122250</x:v>
      </x:c>
      <x:c r="H22" s="34" t="n">
        <x:f>G22/'Assumptions'!$B$9/3600</x:f>
        <x:v>0.00419238683127572</x:v>
      </x:c>
      <x:c r="I22" s="34" t="n">
        <x:f>G22/'Assumptions'!$B$5/3600</x:f>
        <x:v>0.002515432098765432</x:v>
      </x:c>
    </x:row>
    <x:row r="23" ht="15.75" customHeight="1">
      <x:c r="A23" s="29" t="n">
        <x:v>22</x:v>
      </x:c>
      <x:c r="B23" s="29" t="n">
        <x:f>A23*'Assumptions'!$B$11</x:f>
        <x:v>110</x:v>
      </x:c>
      <x:c r="C23" s="33" t="n">
        <x:f>1+B23/100</x:f>
        <x:v>2.1</x:v>
      </x:c>
      <x:c r="D23" s="33" t="n">
        <x:f>IF(A23&lt;='Assumptions'!$B$10,1,1+('Assumptions'!$B$14-1)*(A23-'Assumptions'!$B$10)/(MAX($A$2:$A$201)-'Assumptions'!$B$10))</x:f>
        <x:v>1</x:v>
      </x:c>
      <x:c r="E23" s="29" t="n">
        <x:f>IF(A23&lt;='Assumptions'!$B$10,'Assumptions'!$B$6*A23^2*(1+'Assumptions'!$B$7*(A23/'Assumptions'!$B$10)^'Assumptions'!$B$8),$F$101*(A23/'Assumptions'!$B$10)^'Assumptions'!$B$12*D23)</x:f>
        <x:v>18916.54679747707</x:v>
      </x:c>
      <x:c r="F23" s="29" t="n">
        <x:v>19000</x:v>
      </x:c>
      <x:c r="G23" s="29" t="n">
        <x:f>SUM($F$2:F23)</x:f>
        <x:v>141250</x:v>
      </x:c>
      <x:c r="H23" s="34" t="n">
        <x:f>G23/'Assumptions'!$B$9/3600</x:f>
        <x:v>0.004843964334705075</x:v>
      </x:c>
      <x:c r="I23" s="34" t="n">
        <x:f>G23/'Assumptions'!$B$5/3600</x:f>
        <x:v>0.0029063786008230457</x:v>
      </x:c>
    </x:row>
    <x:row r="24" ht="15.75" customHeight="1">
      <x:c r="A24" s="29" t="n">
        <x:v>23</x:v>
      </x:c>
      <x:c r="B24" s="29" t="n">
        <x:f>A24*'Assumptions'!$B$11</x:f>
        <x:v>115</x:v>
      </x:c>
      <x:c r="C24" s="33" t="n">
        <x:f>1+B24/100</x:f>
        <x:v>2.15</x:v>
      </x:c>
      <x:c r="D24" s="33" t="n">
        <x:f>IF(A24&lt;='Assumptions'!$B$10,1,1+('Assumptions'!$B$14-1)*(A24-'Assumptions'!$B$10)/(MAX($A$2:$A$201)-'Assumptions'!$B$10))</x:f>
        <x:v>1</x:v>
      </x:c>
      <x:c r="E24" s="29" t="n">
        <x:f>IF(A24&lt;='Assumptions'!$B$10,'Assumptions'!$B$6*A24^2*(1+'Assumptions'!$B$7*(A24/'Assumptions'!$B$10)^'Assumptions'!$B$8),$F$101*(A24/'Assumptions'!$B$10)^'Assumptions'!$B$12*D24)</x:f>
        <x:v>21011.08382559048</x:v>
      </x:c>
      <x:c r="F24" s="29" t="n">
        <x:v>21000</x:v>
      </x:c>
      <x:c r="G24" s="29" t="n">
        <x:f>SUM($F$2:F24)</x:f>
        <x:v>162250</x:v>
      </x:c>
      <x:c r="H24" s="34" t="n">
        <x:f>G24/'Assumptions'!$B$9/3600</x:f>
        <x:v>0.005564128943758574</x:v>
      </x:c>
      <x:c r="I24" s="34" t="n">
        <x:f>G24/'Assumptions'!$B$5/3600</x:f>
        <x:v>0.003338477366255144</x:v>
      </x:c>
    </x:row>
    <x:row r="25" ht="15.75" customHeight="1">
      <x:c r="A25" s="29" t="n">
        <x:v>24</x:v>
      </x:c>
      <x:c r="B25" s="29" t="n">
        <x:f>A25*'Assumptions'!$B$11</x:f>
        <x:v>120</x:v>
      </x:c>
      <x:c r="C25" s="33" t="n">
        <x:f>1+B25/100</x:f>
        <x:v>2.2</x:v>
      </x:c>
      <x:c r="D25" s="33" t="n">
        <x:f>IF(A25&lt;='Assumptions'!$B$10,1,1+('Assumptions'!$B$14-1)*(A25-'Assumptions'!$B$10)/(MAX($A$2:$A$201)-'Assumptions'!$B$10))</x:f>
        <x:v>1</x:v>
      </x:c>
      <x:c r="E25" s="29" t="n">
        <x:f>IF(A25&lt;='Assumptions'!$B$10,'Assumptions'!$B$6*A25^2*(1+'Assumptions'!$B$7*(A25/'Assumptions'!$B$10)^'Assumptions'!$B$8),$F$101*(A25/'Assumptions'!$B$10)^'Assumptions'!$B$12*D25)</x:f>
        <x:v>23281.02355216555</x:v>
      </x:c>
      <x:c r="F25" s="29" t="n">
        <x:v>23000</x:v>
      </x:c>
      <x:c r="G25" s="29" t="n">
        <x:f>SUM($F$2:F25)</x:f>
        <x:v>185250</x:v>
      </x:c>
      <x:c r="H25" s="34" t="n">
        <x:f>G25/'Assumptions'!$B$9/3600</x:f>
        <x:v>0.0063528806584362135</x:v>
      </x:c>
      <x:c r="I25" s="34" t="n">
        <x:f>G25/'Assumptions'!$B$5/3600</x:f>
        <x:v>0.003811728395061728</x:v>
      </x:c>
    </x:row>
    <x:row r="26" ht="15.75" customHeight="1">
      <x:c r="A26" s="29" t="n">
        <x:v>25</x:v>
      </x:c>
      <x:c r="B26" s="29" t="n">
        <x:f>A26*'Assumptions'!$B$11</x:f>
        <x:v>125</x:v>
      </x:c>
      <x:c r="C26" s="33" t="n">
        <x:f>1+B26/100</x:f>
        <x:v>2.25</x:v>
      </x:c>
      <x:c r="D26" s="33" t="n">
        <x:f>IF(A26&lt;='Assumptions'!$B$10,1,1+('Assumptions'!$B$14-1)*(A26-'Assumptions'!$B$10)/(MAX($A$2:$A$201)-'Assumptions'!$B$10))</x:f>
        <x:v>1</x:v>
      </x:c>
      <x:c r="E26" s="29" t="n">
        <x:f>IF(A26&lt;='Assumptions'!$B$10,'Assumptions'!$B$6*A26^2*(1+'Assumptions'!$B$7*(A26/'Assumptions'!$B$10)^'Assumptions'!$B$8),$F$101*(A26/'Assumptions'!$B$10)^'Assumptions'!$B$12*D26)</x:f>
        <x:v>25741.990209613934</x:v>
      </x:c>
      <x:c r="F26" s="29" t="n">
        <x:v>26000</x:v>
      </x:c>
      <x:c r="G26" s="29" t="n">
        <x:f>SUM($F$2:F26)</x:f>
        <x:v>211250</x:v>
      </x:c>
      <x:c r="H26" s="34" t="n">
        <x:f>G26/'Assumptions'!$B$9/3600</x:f>
        <x:v>0.007244513031550068</x:v>
      </x:c>
      <x:c r="I26" s="34" t="n">
        <x:f>G26/'Assumptions'!$B$5/3600</x:f>
        <x:v>0.004346707818930041</x:v>
      </x:c>
    </x:row>
    <x:row r="27" ht="15.75" customHeight="1">
      <x:c r="A27" s="29" t="n">
        <x:v>26</x:v>
      </x:c>
      <x:c r="B27" s="29" t="n">
        <x:f>A27*'Assumptions'!$B$11</x:f>
        <x:v>130</x:v>
      </x:c>
      <x:c r="C27" s="33" t="n">
        <x:f>1+B27/100</x:f>
        <x:v>2.3</x:v>
      </x:c>
      <x:c r="D27" s="33" t="n">
        <x:f>IF(A27&lt;='Assumptions'!$B$10,1,1+('Assumptions'!$B$14-1)*(A27-'Assumptions'!$B$10)/(MAX($A$2:$A$201)-'Assumptions'!$B$10))</x:f>
        <x:v>1</x:v>
      </x:c>
      <x:c r="E27" s="29" t="n">
        <x:f>IF(A27&lt;='Assumptions'!$B$10,'Assumptions'!$B$6*A27^2*(1+'Assumptions'!$B$7*(A27/'Assumptions'!$B$10)^'Assumptions'!$B$8),$F$101*(A27/'Assumptions'!$B$10)^'Assumptions'!$B$12*D27)</x:f>
        <x:v>28411.143020050673</x:v>
      </x:c>
      <x:c r="F27" s="29" t="n">
        <x:v>28000</x:v>
      </x:c>
      <x:c r="G27" s="29" t="n">
        <x:f>SUM($F$2:F27)</x:f>
        <x:v>239250</x:v>
      </x:c>
      <x:c r="H27" s="34" t="n">
        <x:f>G27/'Assumptions'!$B$9/3600</x:f>
        <x:v>0.008204732510288066</x:v>
      </x:c>
      <x:c r="I27" s="34" t="n">
        <x:f>G27/'Assumptions'!$B$5/3600</x:f>
        <x:v>0.004922839506172839</x:v>
      </x:c>
    </x:row>
    <x:row r="28" ht="15.75" customHeight="1">
      <x:c r="A28" s="29" t="n">
        <x:v>27</x:v>
      </x:c>
      <x:c r="B28" s="29" t="n">
        <x:f>A28*'Assumptions'!$B$11</x:f>
        <x:v>135</x:v>
      </x:c>
      <x:c r="C28" s="33" t="n">
        <x:f>1+B28/100</x:f>
        <x:v>2.35</x:v>
      </x:c>
      <x:c r="D28" s="33" t="n">
        <x:f>IF(A28&lt;='Assumptions'!$B$10,1,1+('Assumptions'!$B$14-1)*(A28-'Assumptions'!$B$10)/(MAX($A$2:$A$201)-'Assumptions'!$B$10))</x:f>
        <x:v>1</x:v>
      </x:c>
      <x:c r="E28" s="29" t="n">
        <x:f>IF(A28&lt;='Assumptions'!$B$10,'Assumptions'!$B$6*A28^2*(1+'Assumptions'!$B$7*(A28/'Assumptions'!$B$10)^'Assumptions'!$B$8),$F$101*(A28/'Assumptions'!$B$10)^'Assumptions'!$B$12*D28)</x:f>
        <x:v>31307.256543352956</x:v>
      </x:c>
      <x:c r="F28" s="29" t="n">
        <x:v>31000</x:v>
      </x:c>
      <x:c r="G28" s="29" t="n">
        <x:f>SUM($F$2:F28)</x:f>
        <x:v>270250</x:v>
      </x:c>
      <x:c r="H28" s="34" t="n">
        <x:f>G28/'Assumptions'!$B$9/3600</x:f>
        <x:v>0.009267832647462277</x:v>
      </x:c>
      <x:c r="I28" s="34" t="n">
        <x:f>G28/'Assumptions'!$B$5/3600</x:f>
        <x:v>0.005560699588477366</x:v>
      </x:c>
    </x:row>
    <x:row r="29" ht="15.75" customHeight="1">
      <x:c r="A29" s="29" t="n">
        <x:v>28</x:v>
      </x:c>
      <x:c r="B29" s="29" t="n">
        <x:f>A29*'Assumptions'!$B$11</x:f>
        <x:v>140</x:v>
      </x:c>
      <x:c r="C29" s="33" t="n">
        <x:f>1+B29/100</x:f>
        <x:v>2.4</x:v>
      </x:c>
      <x:c r="D29" s="33" t="n">
        <x:f>IF(A29&lt;='Assumptions'!$B$10,1,1+('Assumptions'!$B$14-1)*(A29-'Assumptions'!$B$10)/(MAX($A$2:$A$201)-'Assumptions'!$B$10))</x:f>
        <x:v>1</x:v>
      </x:c>
      <x:c r="E29" s="29" t="n">
        <x:f>IF(A29&lt;='Assumptions'!$B$10,'Assumptions'!$B$6*A29^2*(1+'Assumptions'!$B$7*(A29/'Assumptions'!$B$10)^'Assumptions'!$B$8),$F$101*(A29/'Assumptions'!$B$10)^'Assumptions'!$B$12*D29)</x:f>
        <x:v>34450.801833245205</x:v>
      </x:c>
      <x:c r="F29" s="29" t="n">
        <x:v>34000</x:v>
      </x:c>
      <x:c r="G29" s="29" t="n">
        <x:f>SUM($F$2:F29)</x:f>
        <x:v>304250</x:v>
      </x:c>
      <x:c r="H29" s="34" t="n">
        <x:f>G29/'Assumptions'!$B$9/3600</x:f>
        <x:v>0.010433813443072702</x:v>
      </x:c>
      <x:c r="I29" s="34" t="n">
        <x:f>G29/'Assumptions'!$B$5/3600</x:f>
        <x:v>0.0062602880658436215</x:v>
      </x:c>
    </x:row>
    <x:row r="30" ht="15.75" customHeight="1">
      <x:c r="A30" s="29" t="n">
        <x:v>29</x:v>
      </x:c>
      <x:c r="B30" s="29" t="n">
        <x:f>A30*'Assumptions'!$B$11</x:f>
        <x:v>145</x:v>
      </x:c>
      <x:c r="C30" s="33" t="n">
        <x:f>1+B30/100</x:f>
        <x:v>2.45</x:v>
      </x:c>
      <x:c r="D30" s="33" t="n">
        <x:f>IF(A30&lt;='Assumptions'!$B$10,1,1+('Assumptions'!$B$14-1)*(A30-'Assumptions'!$B$10)/(MAX($A$2:$A$201)-'Assumptions'!$B$10))</x:f>
        <x:v>1</x:v>
      </x:c>
      <x:c r="E30" s="29" t="n">
        <x:f>IF(A30&lt;='Assumptions'!$B$10,'Assumptions'!$B$6*A30^2*(1+'Assumptions'!$B$7*(A30/'Assumptions'!$B$10)^'Assumptions'!$B$8),$F$101*(A30/'Assumptions'!$B$10)^'Assumptions'!$B$12*D30)</x:f>
        <x:v>37864.028377957045</x:v>
      </x:c>
      <x:c r="F30" s="29" t="n">
        <x:v>38000</x:v>
      </x:c>
      <x:c r="G30" s="29" t="n">
        <x:f>SUM($F$2:F30)</x:f>
        <x:v>342250</x:v>
      </x:c>
      <x:c r="H30" s="34" t="n">
        <x:f>G30/'Assumptions'!$B$9/3600</x:f>
        <x:v>0.011736968449931414</x:v>
      </x:c>
      <x:c r="I30" s="34" t="n">
        <x:f>G30/'Assumptions'!$B$5/3600</x:f>
        <x:v>0.0070421810699588475</x:v>
      </x:c>
    </x:row>
    <x:row r="31" ht="15.75" customHeight="1">
      <x:c r="A31" s="29" t="n">
        <x:v>30</x:v>
      </x:c>
      <x:c r="B31" s="29" t="n">
        <x:f>A31*'Assumptions'!$B$11</x:f>
        <x:v>150</x:v>
      </x:c>
      <x:c r="C31" s="33" t="n">
        <x:f>1+B31/100</x:f>
        <x:v>2.5</x:v>
      </x:c>
      <x:c r="D31" s="33" t="n">
        <x:f>IF(A31&lt;='Assumptions'!$B$10,1,1+('Assumptions'!$B$14-1)*(A31-'Assumptions'!$B$10)/(MAX($A$2:$A$201)-'Assumptions'!$B$10))</x:f>
        <x:v>1</x:v>
      </x:c>
      <x:c r="E31" s="29" t="n">
        <x:f>IF(A31&lt;='Assumptions'!$B$10,'Assumptions'!$B$6*A31^2*(1+'Assumptions'!$B$7*(A31/'Assumptions'!$B$10)^'Assumptions'!$B$8),$F$101*(A31/'Assumptions'!$B$10)^'Assumptions'!$B$12*D31)</x:f>
        <x:v>41571.04680353102</x:v>
      </x:c>
      <x:c r="F31" s="29" t="n">
        <x:v>42000</x:v>
      </x:c>
      <x:c r="G31" s="29" t="n">
        <x:f>SUM($F$2:F31)</x:f>
        <x:v>384250</x:v>
      </x:c>
      <x:c r="H31" s="34" t="n">
        <x:f>G31/'Assumptions'!$B$9/3600</x:f>
        <x:v>0.013177297668038409</x:v>
      </x:c>
      <x:c r="I31" s="34" t="n">
        <x:f>G31/'Assumptions'!$B$5/3600</x:f>
        <x:v>0.007906378600823044</x:v>
      </x:c>
    </x:row>
    <x:row r="32" ht="15.75" customHeight="1">
      <x:c r="A32" s="29" t="n">
        <x:v>31</x:v>
      </x:c>
      <x:c r="B32" s="29" t="n">
        <x:f>A32*'Assumptions'!$B$11</x:f>
        <x:v>155</x:v>
      </x:c>
      <x:c r="C32" s="33" t="n">
        <x:f>1+B32/100</x:f>
        <x:v>2.55</x:v>
      </x:c>
      <x:c r="D32" s="33" t="n">
        <x:f>IF(A32&lt;='Assumptions'!$B$10,1,1+('Assumptions'!$B$14-1)*(A32-'Assumptions'!$B$10)/(MAX($A$2:$A$201)-'Assumptions'!$B$10))</x:f>
        <x:v>1</x:v>
      </x:c>
      <x:c r="E32" s="29" t="n">
        <x:f>IF(A32&lt;='Assumptions'!$B$10,'Assumptions'!$B$6*A32^2*(1+'Assumptions'!$B$7*(A32/'Assumptions'!$B$10)^'Assumptions'!$B$8),$F$101*(A32/'Assumptions'!$B$10)^'Assumptions'!$B$12*D32)</x:f>
        <x:v>45597.912319235635</x:v>
      </x:c>
      <x:c r="F32" s="29" t="n">
        <x:v>46000</x:v>
      </x:c>
      <x:c r="G32" s="29" t="n">
        <x:f>SUM($F$2:F32)</x:f>
        <x:v>430250</x:v>
      </x:c>
      <x:c r="H32" s="34" t="n">
        <x:f>G32/'Assumptions'!$B$9/3600</x:f>
        <x:v>0.01475480109739369</x:v>
      </x:c>
      <x:c r="I32" s="34" t="n">
        <x:f>G32/'Assumptions'!$B$5/3600</x:f>
        <x:v>0.008852880658436214</x:v>
      </x:c>
    </x:row>
    <x:row r="33" ht="15.75" customHeight="1">
      <x:c r="A33" s="29" t="n">
        <x:v>32</x:v>
      </x:c>
      <x:c r="B33" s="29" t="n">
        <x:f>A33*'Assumptions'!$B$11</x:f>
        <x:v>160</x:v>
      </x:c>
      <x:c r="C33" s="33" t="n">
        <x:f>1+B33/100</x:f>
        <x:v>2.6</x:v>
      </x:c>
      <x:c r="D33" s="33" t="n">
        <x:f>IF(A33&lt;='Assumptions'!$B$10,1,1+('Assumptions'!$B$14-1)*(A33-'Assumptions'!$B$10)/(MAX($A$2:$A$201)-'Assumptions'!$B$10))</x:f>
        <x:v>1</x:v>
      </x:c>
      <x:c r="E33" s="29" t="n">
        <x:f>IF(A33&lt;='Assumptions'!$B$10,'Assumptions'!$B$6*A33^2*(1+'Assumptions'!$B$7*(A33/'Assumptions'!$B$10)^'Assumptions'!$B$8),$F$101*(A33/'Assumptions'!$B$10)^'Assumptions'!$B$12*D33)</x:f>
        <x:v>49972.70888578719</x:v>
      </x:c>
      <x:c r="F33" s="29" t="n">
        <x:v>50000</x:v>
      </x:c>
      <x:c r="G33" s="29" t="n">
        <x:f>SUM($F$2:F33)</x:f>
        <x:v>480250</x:v>
      </x:c>
      <x:c r="H33" s="34" t="n">
        <x:f>G33/'Assumptions'!$B$9/3600</x:f>
        <x:v>0.016469478737997256</x:v>
      </x:c>
      <x:c r="I33" s="34" t="n">
        <x:f>G33/'Assumptions'!$B$5/3600</x:f>
        <x:v>0.009881687242798354</x:v>
      </x:c>
    </x:row>
    <x:row r="34" ht="15.75" customHeight="1">
      <x:c r="A34" s="29" t="n">
        <x:v>33</x:v>
      </x:c>
      <x:c r="B34" s="29" t="n">
        <x:f>A34*'Assumptions'!$B$11</x:f>
        <x:v>165</x:v>
      </x:c>
      <x:c r="C34" s="33" t="n">
        <x:f>1+B34/100</x:f>
        <x:v>2.65</x:v>
      </x:c>
      <x:c r="D34" s="33" t="n">
        <x:f>IF(A34&lt;='Assumptions'!$B$10,1,1+('Assumptions'!$B$14-1)*(A34-'Assumptions'!$B$10)/(MAX($A$2:$A$201)-'Assumptions'!$B$10))</x:f>
        <x:v>1</x:v>
      </x:c>
      <x:c r="E34" s="29" t="n">
        <x:f>IF(A34&lt;='Assumptions'!$B$10,'Assumptions'!$B$6*A34^2*(1+'Assumptions'!$B$7*(A34/'Assumptions'!$B$10)^'Assumptions'!$B$8),$F$101*(A34/'Assumptions'!$B$10)^'Assumptions'!$B$12*D34)</x:f>
        <x:v>54725.634088215484</x:v>
      </x:c>
      <x:c r="F34" s="29" t="n">
        <x:v>55000</x:v>
      </x:c>
      <x:c r="G34" s="29" t="n">
        <x:f>SUM($F$2:F34)</x:f>
        <x:v>535250</x:v>
      </x:c>
      <x:c r="H34" s="34" t="n">
        <x:f>G34/'Assumptions'!$B$9/3600</x:f>
        <x:v>0.018355624142661182</x:v>
      </x:c>
      <x:c r="I34" s="34" t="n">
        <x:f>G34/'Assumptions'!$B$5/3600</x:f>
        <x:v>0.011013374485596706</x:v>
      </x:c>
    </x:row>
    <x:row r="35" ht="15.75" customHeight="1">
      <x:c r="A35" s="29" t="n">
        <x:v>34</x:v>
      </x:c>
      <x:c r="B35" s="29" t="n">
        <x:f>A35*'Assumptions'!$B$11</x:f>
        <x:v>170</x:v>
      </x:c>
      <x:c r="C35" s="33" t="n">
        <x:f>1+B35/100</x:f>
        <x:v>2.7</x:v>
      </x:c>
      <x:c r="D35" s="33" t="n">
        <x:f>IF(A35&lt;='Assumptions'!$B$10,1,1+('Assumptions'!$B$14-1)*(A35-'Assumptions'!$B$10)/(MAX($A$2:$A$201)-'Assumptions'!$B$10))</x:f>
        <x:v>1</x:v>
      </x:c>
      <x:c r="E35" s="29" t="n">
        <x:f>IF(A35&lt;='Assumptions'!$B$10,'Assumptions'!$B$6*A35^2*(1+'Assumptions'!$B$7*(A35/'Assumptions'!$B$10)^'Assumptions'!$B$8),$F$101*(A35/'Assumptions'!$B$10)^'Assumptions'!$B$12*D35)</x:f>
        <x:v>59889.08469624001</x:v>
      </x:c>
      <x:c r="F35" s="29" t="n">
        <x:v>60000</x:v>
      </x:c>
      <x:c r="G35" s="29" t="n">
        <x:f>SUM($F$2:F35)</x:f>
        <x:v>595250</x:v>
      </x:c>
      <x:c r="H35" s="34" t="n">
        <x:f>G35/'Assumptions'!$B$9/3600</x:f>
        <x:v>0.02041323731138546</x:v>
      </x:c>
      <x:c r="I35" s="34" t="n">
        <x:f>G35/'Assumptions'!$B$5/3600</x:f>
        <x:v>0.012247942386831277</x:v>
      </x:c>
    </x:row>
    <x:row r="36" ht="15.75" customHeight="1">
      <x:c r="A36" s="29" t="n">
        <x:v>35</x:v>
      </x:c>
      <x:c r="B36" s="29" t="n">
        <x:f>A36*'Assumptions'!$B$11</x:f>
        <x:v>175</x:v>
      </x:c>
      <x:c r="C36" s="33" t="n">
        <x:f>1+B36/100</x:f>
        <x:v>2.75</x:v>
      </x:c>
      <x:c r="D36" s="33" t="n">
        <x:f>IF(A36&lt;='Assumptions'!$B$10,1,1+('Assumptions'!$B$14-1)*(A36-'Assumptions'!$B$10)/(MAX($A$2:$A$201)-'Assumptions'!$B$10))</x:f>
        <x:v>1</x:v>
      </x:c>
      <x:c r="E36" s="29" t="n">
        <x:f>IF(A36&lt;='Assumptions'!$B$10,'Assumptions'!$B$6*A36^2*(1+'Assumptions'!$B$7*(A36/'Assumptions'!$B$10)^'Assumptions'!$B$8),$F$101*(A36/'Assumptions'!$B$10)^'Assumptions'!$B$12*D36)</x:f>
        <x:v>65497.74289596527</x:v>
      </x:c>
      <x:c r="F36" s="29" t="n">
        <x:v>65000</x:v>
      </x:c>
      <x:c r="G36" s="29" t="n">
        <x:f>SUM($F$2:F36)</x:f>
        <x:v>660250</x:v>
      </x:c>
      <x:c r="H36" s="34" t="n">
        <x:f>G36/'Assumptions'!$B$9/3600</x:f>
        <x:v>0.022642318244170095</x:v>
      </x:c>
      <x:c r="I36" s="34" t="n">
        <x:f>G36/'Assumptions'!$B$5/3600</x:f>
        <x:v>0.013585390946502057</x:v>
      </x:c>
    </x:row>
    <x:row r="37" ht="15.75" customHeight="1">
      <x:c r="A37" s="29" t="n">
        <x:v>36</x:v>
      </x:c>
      <x:c r="B37" s="29" t="n">
        <x:f>A37*'Assumptions'!$B$11</x:f>
        <x:v>180</x:v>
      </x:c>
      <x:c r="C37" s="33" t="n">
        <x:f>1+B37/100</x:f>
        <x:v>2.8</x:v>
      </x:c>
      <x:c r="D37" s="33" t="n">
        <x:f>IF(A37&lt;='Assumptions'!$B$10,1,1+('Assumptions'!$B$14-1)*(A37-'Assumptions'!$B$10)/(MAX($A$2:$A$201)-'Assumptions'!$B$10))</x:f>
        <x:v>1</x:v>
      </x:c>
      <x:c r="E37" s="29" t="n">
        <x:f>IF(A37&lt;='Assumptions'!$B$10,'Assumptions'!$B$6*A37^2*(1+'Assumptions'!$B$7*(A37/'Assumptions'!$B$10)^'Assumptions'!$B$8),$F$101*(A37/'Assumptions'!$B$10)^'Assumptions'!$B$12*D37)</x:f>
        <x:v>71588.6631775668</x:v>
      </x:c>
      <x:c r="F37" s="29" t="n">
        <x:v>72000</x:v>
      </x:c>
      <x:c r="G37" s="29" t="n">
        <x:f>SUM($F$2:F37)</x:f>
        <x:v>732250</x:v>
      </x:c>
      <x:c r="H37" s="34" t="n">
        <x:f>G37/'Assumptions'!$B$9/3600</x:f>
        <x:v>0.025111454046639232</x:v>
      </x:c>
      <x:c r="I37" s="34" t="n">
        <x:f>G37/'Assumptions'!$B$5/3600</x:f>
        <x:v>0.01506687242798354</x:v>
      </x:c>
    </x:row>
    <x:row r="38" ht="15.75" customHeight="1">
      <x:c r="A38" s="29" t="n">
        <x:v>37</x:v>
      </x:c>
      <x:c r="B38" s="29" t="n">
        <x:f>A38*'Assumptions'!$B$11</x:f>
        <x:v>185</x:v>
      </x:c>
      <x:c r="C38" s="33" t="n">
        <x:f>1+B38/100</x:f>
        <x:v>2.85</x:v>
      </x:c>
      <x:c r="D38" s="33" t="n">
        <x:f>IF(A38&lt;='Assumptions'!$B$10,1,1+('Assumptions'!$B$14-1)*(A38-'Assumptions'!$B$10)/(MAX($A$2:$A$201)-'Assumptions'!$B$10))</x:f>
        <x:v>1</x:v>
      </x:c>
      <x:c r="E38" s="29" t="n">
        <x:f>IF(A38&lt;='Assumptions'!$B$10,'Assumptions'!$B$6*A38^2*(1+'Assumptions'!$B$7*(A38/'Assumptions'!$B$10)^'Assumptions'!$B$8),$F$101*(A38/'Assumptions'!$B$10)^'Assumptions'!$B$12*D38)</x:f>
        <x:v>78201.35986443241</x:v>
      </x:c>
      <x:c r="F38" s="29" t="n">
        <x:v>78000</x:v>
      </x:c>
      <x:c r="G38" s="29" t="n">
        <x:f>SUM($F$2:F38)</x:f>
        <x:v>810250</x:v>
      </x:c>
      <x:c r="H38" s="34" t="n">
        <x:f>G38/'Assumptions'!$B$9/3600</x:f>
        <x:v>0.027786351165980796</x:v>
      </x:c>
      <x:c r="I38" s="34" t="n">
        <x:f>G38/'Assumptions'!$B$5/3600</x:f>
        <x:v>0.016671810699588476</x:v>
      </x:c>
    </x:row>
    <x:row r="39" ht="15.75" customHeight="1">
      <x:c r="A39" s="29" t="n">
        <x:v>38</x:v>
      </x:c>
      <x:c r="B39" s="29" t="n">
        <x:f>A39*'Assumptions'!$B$11</x:f>
        <x:v>190</x:v>
      </x:c>
      <x:c r="C39" s="33" t="n">
        <x:f>1+B39/100</x:f>
        <x:v>2.9</x:v>
      </x:c>
      <x:c r="D39" s="33" t="n">
        <x:f>IF(A39&lt;='Assumptions'!$B$10,1,1+('Assumptions'!$B$14-1)*(A39-'Assumptions'!$B$10)/(MAX($A$2:$A$201)-'Assumptions'!$B$10))</x:f>
        <x:v>1</x:v>
      </x:c>
      <x:c r="E39" s="29" t="n">
        <x:f>IF(A39&lt;='Assumptions'!$B$10,'Assumptions'!$B$6*A39^2*(1+'Assumptions'!$B$7*(A39/'Assumptions'!$B$10)^'Assumptions'!$B$8),$F$101*(A39/'Assumptions'!$B$10)^'Assumptions'!$B$12*D39)</x:f>
        <x:v>85377.89526995335</x:v>
      </x:c>
      <x:c r="F39" s="29" t="n">
        <x:v>85000</x:v>
      </x:c>
      <x:c r="G39" s="29" t="n">
        <x:f>SUM($F$2:F39)</x:f>
        <x:v>895250</x:v>
      </x:c>
      <x:c r="H39" s="34" t="n">
        <x:f>G39/'Assumptions'!$B$9/3600</x:f>
        <x:v>0.03070130315500686</x:v>
      </x:c>
      <x:c r="I39" s="34" t="n">
        <x:f>G39/'Assumptions'!$B$5/3600</x:f>
        <x:v>0.018420781893004112</x:v>
      </x:c>
    </x:row>
    <x:row r="40" ht="15.75" customHeight="1">
      <x:c r="A40" s="29" t="n">
        <x:v>39</x:v>
      </x:c>
      <x:c r="B40" s="29" t="n">
        <x:f>A40*'Assumptions'!$B$11</x:f>
        <x:v>195</x:v>
      </x:c>
      <x:c r="C40" s="33" t="n">
        <x:f>1+B40/100</x:f>
        <x:v>2.95</x:v>
      </x:c>
      <x:c r="D40" s="33" t="n">
        <x:f>IF(A40&lt;='Assumptions'!$B$10,1,1+('Assumptions'!$B$14-1)*(A40-'Assumptions'!$B$10)/(MAX($A$2:$A$201)-'Assumptions'!$B$10))</x:f>
        <x:v>1</x:v>
      </x:c>
      <x:c r="E40" s="29" t="n">
        <x:f>IF(A40&lt;='Assumptions'!$B$10,'Assumptions'!$B$6*A40^2*(1+'Assumptions'!$B$7*(A40/'Assumptions'!$B$10)^'Assumptions'!$B$8),$F$101*(A40/'Assumptions'!$B$10)^'Assumptions'!$B$12*D40)</x:f>
        <x:v>93162.96846883478</x:v>
      </x:c>
      <x:c r="F40" s="29" t="n">
        <x:v>93000</x:v>
      </x:c>
      <x:c r="G40" s="29" t="n">
        <x:f>SUM($F$2:F40)</x:f>
        <x:v>988250</x:v>
      </x:c>
      <x:c r="H40" s="34" t="n">
        <x:f>G40/'Assumptions'!$B$9/3600</x:f>
        <x:v>0.033890603566529495</x:v>
      </x:c>
      <x:c r="I40" s="34" t="n">
        <x:f>G40/'Assumptions'!$B$5/3600</x:f>
        <x:v>0.020334362139917697</x:v>
      </x:c>
    </x:row>
    <x:row r="41" ht="15.75" customHeight="1">
      <x:c r="A41" s="29" t="n">
        <x:v>40</x:v>
      </x:c>
      <x:c r="B41" s="29" t="n">
        <x:f>A41*'Assumptions'!$B$11</x:f>
        <x:v>200</x:v>
      </x:c>
      <x:c r="C41" s="33" t="n">
        <x:f>1+B41/100</x:f>
        <x:v>3</x:v>
      </x:c>
      <x:c r="D41" s="33" t="n">
        <x:f>IF(A41&lt;='Assumptions'!$B$10,1,1+('Assumptions'!$B$14-1)*(A41-'Assumptions'!$B$10)/(MAX($A$2:$A$201)-'Assumptions'!$B$10))</x:f>
        <x:v>1</x:v>
      </x:c>
      <x:c r="E41" s="29" t="n">
        <x:f>IF(A41&lt;='Assumptions'!$B$10,'Assumptions'!$B$6*A41^2*(1+'Assumptions'!$B$7*(A41/'Assumptions'!$B$10)^'Assumptions'!$B$8),$F$101*(A41/'Assumptions'!$B$10)^'Assumptions'!$B$12*D41)</x:f>
        <x:v>101604.00467041777</x:v>
      </x:c>
      <x:c r="F41" s="29" t="n">
        <x:v>100000</x:v>
      </x:c>
      <x:c r="G41" s="29" t="n">
        <x:f>SUM($F$2:F41)</x:f>
        <x:v>1088250</x:v>
      </x:c>
      <x:c r="H41" s="34" t="n">
        <x:f>G41/'Assumptions'!$B$9/3600</x:f>
        <x:v>0.037319958847736624</x:v>
      </x:c>
      <x:c r="I41" s="34" t="n">
        <x:f>G41/'Assumptions'!$B$5/3600</x:f>
        <x:v>0.022391975308641975</x:v>
      </x:c>
    </x:row>
    <x:row r="42" ht="15.75" customHeight="1">
      <x:c r="A42" s="29" t="n">
        <x:v>41</x:v>
      </x:c>
      <x:c r="B42" s="29" t="n">
        <x:f>A42*'Assumptions'!$B$11</x:f>
        <x:v>205</x:v>
      </x:c>
      <x:c r="C42" s="33" t="n">
        <x:f>1+B42/100</x:f>
        <x:v>3.05</x:v>
      </x:c>
      <x:c r="D42" s="33" t="n">
        <x:f>IF(A42&lt;='Assumptions'!$B$10,1,1+('Assumptions'!$B$14-1)*(A42-'Assumptions'!$B$10)/(MAX($A$2:$A$201)-'Assumptions'!$B$10))</x:f>
        <x:v>1</x:v>
      </x:c>
      <x:c r="E42" s="29" t="n">
        <x:f>IF(A42&lt;='Assumptions'!$B$10,'Assumptions'!$B$6*A42^2*(1+'Assumptions'!$B$7*(A42/'Assumptions'!$B$10)^'Assumptions'!$B$8),$F$101*(A42/'Assumptions'!$B$10)^'Assumptions'!$B$12*D42)</x:f>
        <x:v>110751.24518208463</x:v>
      </x:c>
      <x:c r="F42" s="29" t="n">
        <x:v>110000</x:v>
      </x:c>
      <x:c r="G42" s="29" t="n">
        <x:f>SUM($F$2:F42)</x:f>
        <x:v>1198250</x:v>
      </x:c>
      <x:c r="H42" s="34" t="n">
        <x:f>G42/'Assumptions'!$B$9/3600</x:f>
        <x:v>0.04109224965706447</x:v>
      </x:c>
      <x:c r="I42" s="34" t="n">
        <x:f>G42/'Assumptions'!$B$5/3600</x:f>
        <x:v>0.024655349794238682</x:v>
      </x:c>
    </x:row>
    <x:row r="43" ht="15.75" customHeight="1">
      <x:c r="A43" s="29" t="n">
        <x:v>42</x:v>
      </x:c>
      <x:c r="B43" s="29" t="n">
        <x:f>A43*'Assumptions'!$B$11</x:f>
        <x:v>210</x:v>
      </x:c>
      <x:c r="C43" s="33" t="n">
        <x:f>1+B43/100</x:f>
        <x:v>3.1</x:v>
      </x:c>
      <x:c r="D43" s="33" t="n">
        <x:f>IF(A43&lt;='Assumptions'!$B$10,1,1+('Assumptions'!$B$14-1)*(A43-'Assumptions'!$B$10)/(MAX($A$2:$A$201)-'Assumptions'!$B$10))</x:f>
        <x:v>1</x:v>
      </x:c>
      <x:c r="E43" s="29" t="n">
        <x:f>IF(A43&lt;='Assumptions'!$B$10,'Assumptions'!$B$6*A43^2*(1+'Assumptions'!$B$7*(A43/'Assumptions'!$B$10)^'Assumptions'!$B$8),$F$101*(A43/'Assumptions'!$B$10)^'Assumptions'!$B$12*D43)</x:f>
        <x:v>120657.83795135634</x:v>
      </x:c>
      <x:c r="F43" s="29" t="n">
        <x:v>120000</x:v>
      </x:c>
      <x:c r="G43" s="29" t="n">
        <x:f>SUM($F$2:F43)</x:f>
        <x:v>1318250</x:v>
      </x:c>
      <x:c r="H43" s="34" t="n">
        <x:f>G43/'Assumptions'!$B$9/3600</x:f>
        <x:v>0.04520747599451303</x:v>
      </x:c>
      <x:c r="I43" s="34" t="n">
        <x:f>G43/'Assumptions'!$B$5/3600</x:f>
        <x:v>0.02712448559670782</x:v>
      </x:c>
    </x:row>
    <x:row r="44" ht="15.75" customHeight="1">
      <x:c r="A44" s="29" t="n">
        <x:v>43</x:v>
      </x:c>
      <x:c r="B44" s="29" t="n">
        <x:f>A44*'Assumptions'!$B$11</x:f>
        <x:v>215</x:v>
      </x:c>
      <x:c r="C44" s="33" t="n">
        <x:f>1+B44/100</x:f>
        <x:v>3.15</x:v>
      </x:c>
      <x:c r="D44" s="33" t="n">
        <x:f>IF(A44&lt;='Assumptions'!$B$10,1,1+('Assumptions'!$B$14-1)*(A44-'Assumptions'!$B$10)/(MAX($A$2:$A$201)-'Assumptions'!$B$10))</x:f>
        <x:v>1</x:v>
      </x:c>
      <x:c r="E44" s="29" t="n">
        <x:f>IF(A44&lt;='Assumptions'!$B$10,'Assumptions'!$B$6*A44^2*(1+'Assumptions'!$B$7*(A44/'Assumptions'!$B$10)^'Assumptions'!$B$8),$F$101*(A44/'Assumptions'!$B$10)^'Assumptions'!$B$12*D44)</x:f>
        <x:v>131379.92867579075</x:v>
      </x:c>
      <x:c r="F44" s="29" t="n">
        <x:v>130000</x:v>
      </x:c>
      <x:c r="G44" s="29" t="n">
        <x:f>SUM($F$2:F44)</x:f>
        <x:v>1448250</x:v>
      </x:c>
      <x:c r="H44" s="34" t="n">
        <x:f>G44/'Assumptions'!$B$9/3600</x:f>
        <x:v>0.04966563786008231</x:v>
      </x:c>
      <x:c r="I44" s="34" t="n">
        <x:f>G44/'Assumptions'!$B$5/3600</x:f>
        <x:v>0.029799382716049382</x:v>
      </x:c>
    </x:row>
    <x:row r="45" ht="15.75" customHeight="1">
      <x:c r="A45" s="29" t="n">
        <x:v>44</x:v>
      </x:c>
      <x:c r="B45" s="29" t="n">
        <x:f>A45*'Assumptions'!$B$11</x:f>
        <x:v>220</x:v>
      </x:c>
      <x:c r="C45" s="33" t="n">
        <x:f>1+B45/100</x:f>
        <x:v>3.2</x:v>
      </x:c>
      <x:c r="D45" s="33" t="n">
        <x:f>IF(A45&lt;='Assumptions'!$B$10,1,1+('Assumptions'!$B$14-1)*(A45-'Assumptions'!$B$10)/(MAX($A$2:$A$201)-'Assumptions'!$B$10))</x:f>
        <x:v>1</x:v>
      </x:c>
      <x:c r="E45" s="29" t="n">
        <x:f>IF(A45&lt;='Assumptions'!$B$10,'Assumptions'!$B$6*A45^2*(1+'Assumptions'!$B$7*(A45/'Assumptions'!$B$10)^'Assumptions'!$B$8),$F$101*(A45/'Assumptions'!$B$10)^'Assumptions'!$B$12*D45)</x:f>
        <x:v>142976.75247025836</x:v>
      </x:c>
      <x:c r="F45" s="29" t="n">
        <x:v>140000</x:v>
      </x:c>
      <x:c r="G45" s="29" t="n">
        <x:f>SUM($F$2:F45)</x:f>
        <x:v>1588250</x:v>
      </x:c>
      <x:c r="H45" s="34" t="n">
        <x:f>G45/'Assumptions'!$B$9/3600</x:f>
        <x:v>0.05446673525377229</x:v>
      </x:c>
      <x:c r="I45" s="34" t="n">
        <x:f>G45/'Assumptions'!$B$5/3600</x:f>
        <x:v>0.032680041152263375</x:v>
      </x:c>
    </x:row>
    <x:row r="46" ht="15.75" customHeight="1">
      <x:c r="A46" s="29" t="n">
        <x:v>45</x:v>
      </x:c>
      <x:c r="B46" s="29" t="n">
        <x:f>A46*'Assumptions'!$B$11</x:f>
        <x:v>225</x:v>
      </x:c>
      <x:c r="C46" s="33" t="n">
        <x:f>1+B46/100</x:f>
        <x:v>3.25</x:v>
      </x:c>
      <x:c r="D46" s="33" t="n">
        <x:f>IF(A46&lt;='Assumptions'!$B$10,1,1+('Assumptions'!$B$14-1)*(A46-'Assumptions'!$B$10)/(MAX($A$2:$A$201)-'Assumptions'!$B$10))</x:f>
        <x:v>1</x:v>
      </x:c>
      <x:c r="E46" s="29" t="n">
        <x:f>IF(A46&lt;='Assumptions'!$B$10,'Assumptions'!$B$6*A46^2*(1+'Assumptions'!$B$7*(A46/'Assumptions'!$B$10)^'Assumptions'!$B$8),$F$101*(A46/'Assumptions'!$B$10)^'Assumptions'!$B$12*D46)</x:f>
        <x:v>155510.72608160655</x:v>
      </x:c>
      <x:c r="F46" s="29" t="n">
        <x:v>160000</x:v>
      </x:c>
      <x:c r="G46" s="29" t="n">
        <x:f>SUM($F$2:F46)</x:f>
        <x:v>1748250</x:v>
      </x:c>
      <x:c r="H46" s="34" t="n">
        <x:f>G46/'Assumptions'!$B$9/3600</x:f>
        <x:v>0.059953703703703703</x:v>
      </x:c>
      <x:c r="I46" s="34" t="n">
        <x:f>G46/'Assumptions'!$B$5/3600</x:f>
        <x:v>0.035972222222222225</x:v>
      </x:c>
    </x:row>
    <x:row r="47" ht="15.75" customHeight="1">
      <x:c r="A47" s="29" t="n">
        <x:v>46</x:v>
      </x:c>
      <x:c r="B47" s="29" t="n">
        <x:f>A47*'Assumptions'!$B$11</x:f>
        <x:v>230</x:v>
      </x:c>
      <x:c r="C47" s="33" t="n">
        <x:f>1+B47/100</x:f>
        <x:v>3.3</x:v>
      </x:c>
      <x:c r="D47" s="33" t="n">
        <x:f>IF(A47&lt;='Assumptions'!$B$10,1,1+('Assumptions'!$B$14-1)*(A47-'Assumptions'!$B$10)/(MAX($A$2:$A$201)-'Assumptions'!$B$10))</x:f>
        <x:v>1</x:v>
      </x:c>
      <x:c r="E47" s="29" t="n">
        <x:f>IF(A47&lt;='Assumptions'!$B$10,'Assumptions'!$B$6*A47^2*(1+'Assumptions'!$B$7*(A47/'Assumptions'!$B$10)^'Assumptions'!$B$8),$F$101*(A47/'Assumptions'!$B$10)^'Assumptions'!$B$12*D47)</x:f>
        <x:v>169047.54064113312</x:v>
      </x:c>
      <x:c r="F47" s="29" t="n">
        <x:v>170000</x:v>
      </x:c>
      <x:c r="G47" s="29" t="n">
        <x:f>SUM($F$2:F47)</x:f>
        <x:v>1918250</x:v>
      </x:c>
      <x:c r="H47" s="34" t="n">
        <x:f>G47/'Assumptions'!$B$9/3600</x:f>
        <x:v>0.06578360768175583</x:v>
      </x:c>
      <x:c r="I47" s="34" t="n">
        <x:f>G47/'Assumptions'!$B$5/3600</x:f>
        <x:v>0.0394701646090535</x:v>
      </x:c>
    </x:row>
    <x:row r="48" ht="15.75" customHeight="1">
      <x:c r="A48" s="29" t="n">
        <x:v>47</x:v>
      </x:c>
      <x:c r="B48" s="29" t="n">
        <x:f>A48*'Assumptions'!$B$11</x:f>
        <x:v>235</x:v>
      </x:c>
      <x:c r="C48" s="33" t="n">
        <x:f>1+B48/100</x:f>
        <x:v>3.35</x:v>
      </x:c>
      <x:c r="D48" s="33" t="n">
        <x:f>IF(A48&lt;='Assumptions'!$B$10,1,1+('Assumptions'!$B$14-1)*(A48-'Assumptions'!$B$10)/(MAX($A$2:$A$201)-'Assumptions'!$B$10))</x:f>
        <x:v>1</x:v>
      </x:c>
      <x:c r="E48" s="29" t="n">
        <x:f>IF(A48&lt;='Assumptions'!$B$10,'Assumptions'!$B$6*A48^2*(1+'Assumptions'!$B$7*(A48/'Assumptions'!$B$10)^'Assumptions'!$B$8),$F$101*(A48/'Assumptions'!$B$10)^'Assumptions'!$B$12*D48)</x:f>
        <x:v>183656.2549456705</x:v>
      </x:c>
      <x:c r="F48" s="29" t="n">
        <x:v>180000</x:v>
      </x:c>
      <x:c r="G48" s="29" t="n">
        <x:f>SUM($F$2:F48)</x:f>
        <x:v>2098250</x:v>
      </x:c>
      <x:c r="H48" s="34" t="n">
        <x:f>G48/'Assumptions'!$B$9/3600</x:f>
        <x:v>0.07195644718792867</x:v>
      </x:c>
      <x:c r="I48" s="34" t="n">
        <x:f>G48/'Assumptions'!$B$5/3600</x:f>
        <x:v>0.0431738683127572</x:v>
      </x:c>
    </x:row>
    <x:row r="49" ht="15.75" customHeight="1">
      <x:c r="A49" s="29" t="n">
        <x:v>48</x:v>
      </x:c>
      <x:c r="B49" s="29" t="n">
        <x:f>A49*'Assumptions'!$B$11</x:f>
        <x:v>240</x:v>
      </x:c>
      <x:c r="C49" s="33" t="n">
        <x:f>1+B49/100</x:f>
        <x:v>3.4</x:v>
      </x:c>
      <x:c r="D49" s="33" t="n">
        <x:f>IF(A49&lt;='Assumptions'!$B$10,1,1+('Assumptions'!$B$14-1)*(A49-'Assumptions'!$B$10)/(MAX($A$2:$A$201)-'Assumptions'!$B$10))</x:f>
        <x:v>1</x:v>
      </x:c>
      <x:c r="E49" s="29" t="n">
        <x:f>IF(A49&lt;='Assumptions'!$B$10,'Assumptions'!$B$6*A49^2*(1+'Assumptions'!$B$7*(A49/'Assumptions'!$B$10)^'Assumptions'!$B$8),$F$101*(A49/'Assumptions'!$B$10)^'Assumptions'!$B$12*D49)</x:f>
        <x:v>199409.38925844274</x:v>
      </x:c>
      <x:c r="F49" s="29" t="n">
        <x:v>200000</x:v>
      </x:c>
      <x:c r="G49" s="29" t="n">
        <x:f>SUM($F$2:F49)</x:f>
        <x:v>2298250</x:v>
      </x:c>
      <x:c r="H49" s="34" t="n">
        <x:f>G49/'Assumptions'!$B$9/3600</x:f>
        <x:v>0.07881515775034294</x:v>
      </x:c>
      <x:c r="I49" s="34" t="n">
        <x:f>G49/'Assumptions'!$B$5/3600</x:f>
        <x:v>0.04728909465020576</x:v>
      </x:c>
    </x:row>
    <x:row r="50" ht="15.75" customHeight="1">
      <x:c r="A50" s="29" t="n">
        <x:v>49</x:v>
      </x:c>
      <x:c r="B50" s="29" t="n">
        <x:f>A50*'Assumptions'!$B$11</x:f>
        <x:v>245</x:v>
      </x:c>
      <x:c r="C50" s="33" t="n">
        <x:f>1+B50/100</x:f>
        <x:v>3.45</x:v>
      </x:c>
      <x:c r="D50" s="33" t="n">
        <x:f>IF(A50&lt;='Assumptions'!$B$10,1,1+('Assumptions'!$B$14-1)*(A50-'Assumptions'!$B$10)/(MAX($A$2:$A$201)-'Assumptions'!$B$10))</x:f>
        <x:v>1</x:v>
      </x:c>
      <x:c r="E50" s="29" t="n">
        <x:f>IF(A50&lt;='Assumptions'!$B$10,'Assumptions'!$B$6*A50^2*(1+'Assumptions'!$B$7*(A50/'Assumptions'!$B$10)^'Assumptions'!$B$8),$F$101*(A50/'Assumptions'!$B$10)^'Assumptions'!$B$12*D50)</x:f>
        <x:v>216383.01962119335</x:v>
      </x:c>
      <x:c r="F50" s="29" t="n">
        <x:v>220000</x:v>
      </x:c>
      <x:c r="G50" s="29" t="n">
        <x:f>SUM($F$2:F50)</x:f>
        <x:v>2518250</x:v>
      </x:c>
      <x:c r="H50" s="34" t="n">
        <x:f>G50/'Assumptions'!$B$9/3600</x:f>
        <x:v>0.08635973936899861</x:v>
      </x:c>
      <x:c r="I50" s="34" t="n">
        <x:f>G50/'Assumptions'!$B$5/3600</x:f>
        <x:v>0.051815843621399175</x:v>
      </x:c>
    </x:row>
    <x:row r="51" ht="15.75" customHeight="1">
      <x:c r="A51" s="29" t="n">
        <x:v>50</x:v>
      </x:c>
      <x:c r="B51" s="29" t="n">
        <x:f>A51*'Assumptions'!$B$11</x:f>
        <x:v>250</x:v>
      </x:c>
      <x:c r="C51" s="33" t="n">
        <x:f>1+B51/100</x:f>
        <x:v>3.5</x:v>
      </x:c>
      <x:c r="D51" s="33" t="n">
        <x:f>IF(A51&lt;='Assumptions'!$B$10,1,1+('Assumptions'!$B$14-1)*(A51-'Assumptions'!$B$10)/(MAX($A$2:$A$201)-'Assumptions'!$B$10))</x:f>
        <x:v>1</x:v>
      </x:c>
      <x:c r="E51" s="29" t="n">
        <x:f>IF(A51&lt;='Assumptions'!$B$10,'Assumptions'!$B$6*A51^2*(1+'Assumptions'!$B$7*(A51/'Assumptions'!$B$10)^'Assumptions'!$B$8),$F$101*(A51/'Assumptions'!$B$10)^'Assumptions'!$B$12*D51)</x:f>
        <x:v>234656.8726694</x:v>
      </x:c>
      <x:c r="F51" s="29" t="n">
        <x:v>230000</x:v>
      </x:c>
      <x:c r="G51" s="29" t="n">
        <x:f>SUM($F$2:F51)</x:f>
        <x:v>2748250</x:v>
      </x:c>
      <x:c r="H51" s="34" t="n">
        <x:f>G51/'Assumptions'!$B$9/3600</x:f>
        <x:v>0.09424725651577504</x:v>
      </x:c>
      <x:c r="I51" s="34" t="n">
        <x:f>G51/'Assumptions'!$B$5/3600</x:f>
        <x:v>0.05654835390946502</x:v>
      </x:c>
    </x:row>
    <x:row r="52" ht="15.75" customHeight="1">
      <x:c r="A52" s="29" t="n">
        <x:v>51</x:v>
      </x:c>
      <x:c r="B52" s="29" t="n">
        <x:f>A52*'Assumptions'!$B$11</x:f>
        <x:v>255</x:v>
      </x:c>
      <x:c r="C52" s="33" t="n">
        <x:f>1+B52/100</x:f>
        <x:v>3.55</x:v>
      </x:c>
      <x:c r="D52" s="33" t="n">
        <x:f>IF(A52&lt;='Assumptions'!$B$10,1,1+('Assumptions'!$B$14-1)*(A52-'Assumptions'!$B$10)/(MAX($A$2:$A$201)-'Assumptions'!$B$10))</x:f>
        <x:v>1</x:v>
      </x:c>
      <x:c r="E52" s="29" t="n">
        <x:f>IF(A52&lt;='Assumptions'!$B$10,'Assumptions'!$B$6*A52^2*(1+'Assumptions'!$B$7*(A52/'Assumptions'!$B$10)^'Assumptions'!$B$8),$F$101*(A52/'Assumptions'!$B$10)^'Assumptions'!$B$12*D52)</x:f>
        <x:v>254314.42094269284</x:v>
      </x:c>
      <x:c r="F52" s="29" t="n">
        <x:v>250000</x:v>
      </x:c>
      <x:c r="G52" s="29" t="n">
        <x:f>SUM($F$2:F52)</x:f>
        <x:v>2998250</x:v>
      </x:c>
      <x:c r="H52" s="34" t="n">
        <x:f>G52/'Assumptions'!$B$9/3600</x:f>
        <x:v>0.10282064471879288</x:v>
      </x:c>
      <x:c r="I52" s="34" t="n">
        <x:f>G52/'Assumptions'!$B$5/3600</x:f>
        <x:v>0.06169238683127572</x:v>
      </x:c>
    </x:row>
    <x:row r="53" ht="15.75" customHeight="1">
      <x:c r="A53" s="29" t="n">
        <x:v>52</x:v>
      </x:c>
      <x:c r="B53" s="29" t="n">
        <x:f>A53*'Assumptions'!$B$11</x:f>
        <x:v>260</x:v>
      </x:c>
      <x:c r="C53" s="33" t="n">
        <x:f>1+B53/100</x:f>
        <x:v>3.6</x:v>
      </x:c>
      <x:c r="D53" s="33" t="n">
        <x:f>IF(A53&lt;='Assumptions'!$B$10,1,1+('Assumptions'!$B$14-1)*(A53-'Assumptions'!$B$10)/(MAX($A$2:$A$201)-'Assumptions'!$B$10))</x:f>
        <x:v>1</x:v>
      </x:c>
      <x:c r="E53" s="29" t="n">
        <x:f>IF(A53&lt;='Assumptions'!$B$10,'Assumptions'!$B$6*A53^2*(1+'Assumptions'!$B$7*(A53/'Assumptions'!$B$10)^'Assumptions'!$B$8),$F$101*(A53/'Assumptions'!$B$10)^'Assumptions'!$B$12*D53)</x:f>
        <x:v>275442.97868287296</x:v>
      </x:c>
      <x:c r="F53" s="29" t="n">
        <x:v>280000</x:v>
      </x:c>
      <x:c r="G53" s="29" t="n">
        <x:f>SUM($F$2:F53)</x:f>
        <x:v>3278250</x:v>
      </x:c>
      <x:c r="H53" s="34" t="n">
        <x:f>G53/'Assumptions'!$B$9/3600</x:f>
        <x:v>0.11242283950617284</x:v>
      </x:c>
      <x:c r="I53" s="34" t="n">
        <x:f>G53/'Assumptions'!$B$5/3600</x:f>
        <x:v>0.06745370370370371</x:v>
      </x:c>
    </x:row>
    <x:row r="54" ht="15.75" customHeight="1">
      <x:c r="A54" s="29" t="n">
        <x:v>53</x:v>
      </x:c>
      <x:c r="B54" s="29" t="n">
        <x:f>A54*'Assumptions'!$B$11</x:f>
        <x:v>265</x:v>
      </x:c>
      <x:c r="C54" s="33" t="n">
        <x:f>1+B54/100</x:f>
        <x:v>3.65</x:v>
      </x:c>
      <x:c r="D54" s="33" t="n">
        <x:f>IF(A54&lt;='Assumptions'!$B$10,1,1+('Assumptions'!$B$14-1)*(A54-'Assumptions'!$B$10)/(MAX($A$2:$A$201)-'Assumptions'!$B$10))</x:f>
        <x:v>1</x:v>
      </x:c>
      <x:c r="E54" s="29" t="n">
        <x:f>IF(A54&lt;='Assumptions'!$B$10,'Assumptions'!$B$6*A54^2*(1+'Assumptions'!$B$7*(A54/'Assumptions'!$B$10)^'Assumptions'!$B$8),$F$101*(A54/'Assumptions'!$B$10)^'Assumptions'!$B$12*D54)</x:f>
        <x:v>298133.7981121969</x:v>
      </x:c>
      <x:c r="F54" s="29" t="n">
        <x:v>300000</x:v>
      </x:c>
      <x:c r="G54" s="29" t="n">
        <x:f>SUM($F$2:F54)</x:f>
        <x:v>3578250</x:v>
      </x:c>
      <x:c r="H54" s="34" t="n">
        <x:f>G54/'Assumptions'!$B$9/3600</x:f>
        <x:v>0.12271090534979423</x:v>
      </x:c>
      <x:c r="I54" s="34" t="n">
        <x:f>G54/'Assumptions'!$B$5/3600</x:f>
        <x:v>0.07362654320987654</x:v>
      </x:c>
    </x:row>
    <x:row r="55" ht="15.75" customHeight="1">
      <x:c r="A55" s="29" t="n">
        <x:v>54</x:v>
      </x:c>
      <x:c r="B55" s="29" t="n">
        <x:f>A55*'Assumptions'!$B$11</x:f>
        <x:v>270</x:v>
      </x:c>
      <x:c r="C55" s="33" t="n">
        <x:f>1+B55/100</x:f>
        <x:v>3.7</x:v>
      </x:c>
      <x:c r="D55" s="33" t="n">
        <x:f>IF(A55&lt;='Assumptions'!$B$10,1,1+('Assumptions'!$B$14-1)*(A55-'Assumptions'!$B$10)/(MAX($A$2:$A$201)-'Assumptions'!$B$10))</x:f>
        <x:v>1</x:v>
      </x:c>
      <x:c r="E55" s="29" t="n">
        <x:f>IF(A55&lt;='Assumptions'!$B$10,'Assumptions'!$B$6*A55^2*(1+'Assumptions'!$B$7*(A55/'Assumptions'!$B$10)^'Assumptions'!$B$8),$F$101*(A55/'Assumptions'!$B$10)^'Assumptions'!$B$12*D55)</x:f>
        <x:v>322482.1661848449</x:v>
      </x:c>
      <x:c r="F55" s="29" t="n">
        <x:v>320000</x:v>
      </x:c>
      <x:c r="G55" s="29" t="n">
        <x:f>SUM($F$2:F55)</x:f>
        <x:v>3898250</x:v>
      </x:c>
      <x:c r="H55" s="34" t="n">
        <x:f>G55/'Assumptions'!$B$9/3600</x:f>
        <x:v>0.13368484224965707</x:v>
      </x:c>
      <x:c r="I55" s="34" t="n">
        <x:f>G55/'Assumptions'!$B$5/3600</x:f>
        <x:v>0.08021090534979423</x:v>
      </x:c>
    </x:row>
    <x:row r="56" ht="15.75" customHeight="1">
      <x:c r="A56" s="29" t="n">
        <x:v>55</x:v>
      </x:c>
      <x:c r="B56" s="29" t="n">
        <x:f>A56*'Assumptions'!$B$11</x:f>
        <x:v>275</x:v>
      </x:c>
      <x:c r="C56" s="33" t="n">
        <x:f>1+B56/100</x:f>
        <x:v>3.75</x:v>
      </x:c>
      <x:c r="D56" s="33" t="n">
        <x:f>IF(A56&lt;='Assumptions'!$B$10,1,1+('Assumptions'!$B$14-1)*(A56-'Assumptions'!$B$10)/(MAX($A$2:$A$201)-'Assumptions'!$B$10))</x:f>
        <x:v>1</x:v>
      </x:c>
      <x:c r="E56" s="29" t="n">
        <x:f>IF(A56&lt;='Assumptions'!$B$10,'Assumptions'!$B$6*A56^2*(1+'Assumptions'!$B$7*(A56/'Assumptions'!$B$10)^'Assumptions'!$B$8),$F$101*(A56/'Assumptions'!$B$10)^'Assumptions'!$B$12*D56)</x:f>
        <x:v>348587.50180472794</x:v>
      </x:c>
      <x:c r="F56" s="29" t="n">
        <x:v>350000</x:v>
      </x:c>
      <x:c r="G56" s="29" t="n">
        <x:f>SUM($F$2:F56)</x:f>
        <x:v>4248250</x:v>
      </x:c>
      <x:c r="H56" s="34" t="n">
        <x:f>G56/'Assumptions'!$B$9/3600</x:f>
        <x:v>0.14568758573388202</x:v>
      </x:c>
      <x:c r="I56" s="34" t="n">
        <x:f>G56/'Assumptions'!$B$5/3600</x:f>
        <x:v>0.08741255144032921</x:v>
      </x:c>
    </x:row>
    <x:row r="57" ht="15.75" customHeight="1">
      <x:c r="A57" s="29" t="n">
        <x:v>56</x:v>
      </x:c>
      <x:c r="B57" s="29" t="n">
        <x:f>A57*'Assumptions'!$B$11</x:f>
        <x:v>280</x:v>
      </x:c>
      <x:c r="C57" s="33" t="n">
        <x:f>1+B57/100</x:f>
        <x:v>3.8</x:v>
      </x:c>
      <x:c r="D57" s="33" t="n">
        <x:f>IF(A57&lt;='Assumptions'!$B$10,1,1+('Assumptions'!$B$14-1)*(A57-'Assumptions'!$B$10)/(MAX($A$2:$A$201)-'Assumptions'!$B$10))</x:f>
        <x:v>1</x:v>
      </x:c>
      <x:c r="E57" s="29" t="n">
        <x:f>IF(A57&lt;='Assumptions'!$B$10,'Assumptions'!$B$6*A57^2*(1+'Assumptions'!$B$7*(A57/'Assumptions'!$B$10)^'Assumptions'!$B$8),$F$101*(A57/'Assumptions'!$B$10)^'Assumptions'!$B$12*D57)</x:f>
        <x:v>376553.4535030181</x:v>
      </x:c>
      <x:c r="F57" s="29" t="n">
        <x:v>380000</x:v>
      </x:c>
      <x:c r="G57" s="29" t="n">
        <x:f>SUM($F$2:F57)</x:f>
        <x:v>4628250</x:v>
      </x:c>
      <x:c r="H57" s="34" t="n">
        <x:f>G57/'Assumptions'!$B$9/3600</x:f>
        <x:v>0.15871913580246913</x:v>
      </x:c>
      <x:c r="I57" s="34" t="n">
        <x:f>G57/'Assumptions'!$B$5/3600</x:f>
        <x:v>0.09523148148148147</x:v>
      </x:c>
    </x:row>
    <x:row r="58" ht="15.75" customHeight="1">
      <x:c r="A58" s="29" t="n">
        <x:v>57</x:v>
      </x:c>
      <x:c r="B58" s="29" t="n">
        <x:f>A58*'Assumptions'!$B$11</x:f>
        <x:v>285</x:v>
      </x:c>
      <x:c r="C58" s="33" t="n">
        <x:f>1+B58/100</x:f>
        <x:v>3.85</x:v>
      </x:c>
      <x:c r="D58" s="33" t="n">
        <x:f>IF(A58&lt;='Assumptions'!$B$10,1,1+('Assumptions'!$B$14-1)*(A58-'Assumptions'!$B$10)/(MAX($A$2:$A$201)-'Assumptions'!$B$10))</x:f>
        <x:v>1</x:v>
      </x:c>
      <x:c r="E58" s="29" t="n">
        <x:f>IF(A58&lt;='Assumptions'!$B$10,'Assumptions'!$B$6*A58^2*(1+'Assumptions'!$B$7*(A58/'Assumptions'!$B$10)^'Assumptions'!$B$8),$F$101*(A58/'Assumptions'!$B$10)^'Assumptions'!$B$12*D58)</x:f>
        <x:v>406487.9975689996</x:v>
      </x:c>
      <x:c r="F58" s="29" t="n">
        <x:v>410000</x:v>
      </x:c>
      <x:c r="G58" s="29" t="n">
        <x:f>SUM($F$2:F58)</x:f>
        <x:v>5038250</x:v>
      </x:c>
      <x:c r="H58" s="34" t="n">
        <x:f>G58/'Assumptions'!$B$9/3600</x:f>
        <x:v>0.17277949245541838</x:v>
      </x:c>
      <x:c r="I58" s="34" t="n">
        <x:f>G58/'Assumptions'!$B$5/3600</x:f>
        <x:v>0.10366769547325103</x:v>
      </x:c>
    </x:row>
    <x:row r="59" ht="15.75" customHeight="1">
      <x:c r="A59" s="29" t="n">
        <x:v>58</x:v>
      </x:c>
      <x:c r="B59" s="29" t="n">
        <x:f>A59*'Assumptions'!$B$11</x:f>
        <x:v>290</x:v>
      </x:c>
      <x:c r="C59" s="33" t="n">
        <x:f>1+B59/100</x:f>
        <x:v>3.9</x:v>
      </x:c>
      <x:c r="D59" s="33" t="n">
        <x:f>IF(A59&lt;='Assumptions'!$B$10,1,1+('Assumptions'!$B$14-1)*(A59-'Assumptions'!$B$10)/(MAX($A$2:$A$201)-'Assumptions'!$B$10))</x:f>
        <x:v>1</x:v>
      </x:c>
      <x:c r="E59" s="29" t="n">
        <x:f>IF(A59&lt;='Assumptions'!$B$10,'Assumptions'!$B$6*A59^2*(1+'Assumptions'!$B$7*(A59/'Assumptions'!$B$10)^'Assumptions'!$B$8),$F$101*(A59/'Assumptions'!$B$10)^'Assumptions'!$B$12*D59)</x:f>
        <x:v>438503.53662804374</x:v>
      </x:c>
      <x:c r="F59" s="29" t="n">
        <x:v>440000</x:v>
      </x:c>
      <x:c r="G59" s="29" t="n">
        <x:f>SUM($F$2:F59)</x:f>
        <x:v>5478250</x:v>
      </x:c>
      <x:c r="H59" s="34" t="n">
        <x:f>G59/'Assumptions'!$B$9/3600</x:f>
        <x:v>0.18786865569272976</x:v>
      </x:c>
      <x:c r="I59" s="34" t="n">
        <x:f>G59/'Assumptions'!$B$5/3600</x:f>
        <x:v>0.11272119341563787</x:v>
      </x:c>
    </x:row>
    <x:row r="60" ht="15.75" customHeight="1">
      <x:c r="A60" s="29" t="n">
        <x:v>59</x:v>
      </x:c>
      <x:c r="B60" s="29" t="n">
        <x:f>A60*'Assumptions'!$B$11</x:f>
        <x:v>295</x:v>
      </x:c>
      <x:c r="C60" s="33" t="n">
        <x:f>1+B60/100</x:f>
        <x:v>3.95</x:v>
      </x:c>
      <x:c r="D60" s="33" t="n">
        <x:f>IF(A60&lt;='Assumptions'!$B$10,1,1+('Assumptions'!$B$14-1)*(A60-'Assumptions'!$B$10)/(MAX($A$2:$A$201)-'Assumptions'!$B$10))</x:f>
        <x:v>1</x:v>
      </x:c>
      <x:c r="E60" s="29" t="n">
        <x:f>IF(A60&lt;='Assumptions'!$B$10,'Assumptions'!$B$6*A60^2*(1+'Assumptions'!$B$7*(A60/'Assumptions'!$B$10)^'Assumptions'!$B$8),$F$101*(A60/'Assumptions'!$B$10)^'Assumptions'!$B$12*D60)</x:f>
        <x:v>472716.9986607024</x:v>
      </x:c>
      <x:c r="F60" s="29" t="n">
        <x:v>470000</x:v>
      </x:c>
      <x:c r="G60" s="29" t="n">
        <x:f>SUM($F$2:F60)</x:f>
        <x:v>5948250</x:v>
      </x:c>
      <x:c r="H60" s="34" t="n">
        <x:f>G60/'Assumptions'!$B$9/3600</x:f>
        <x:v>0.2039866255144033</x:v>
      </x:c>
      <x:c r="I60" s="34" t="n">
        <x:f>G60/'Assumptions'!$B$5/3600</x:f>
        <x:v>0.12239197530864197</x:v>
      </x:c>
    </x:row>
    <x:row r="61" ht="15.75" customHeight="1">
      <x:c r="A61" s="29" t="n">
        <x:v>60</x:v>
      </x:c>
      <x:c r="B61" s="29" t="n">
        <x:f>A61*'Assumptions'!$B$11</x:f>
        <x:v>300</x:v>
      </x:c>
      <x:c r="C61" s="33" t="n">
        <x:f>1+B61/100</x:f>
        <x:v>4</x:v>
      </x:c>
      <x:c r="D61" s="33" t="n">
        <x:f>IF(A61&lt;='Assumptions'!$B$10,1,1+('Assumptions'!$B$14-1)*(A61-'Assumptions'!$B$10)/(MAX($A$2:$A$201)-'Assumptions'!$B$10))</x:f>
        <x:v>1</x:v>
      </x:c>
      <x:c r="E61" s="29" t="n">
        <x:f>IF(A61&lt;='Assumptions'!$B$10,'Assumptions'!$B$6*A61^2*(1+'Assumptions'!$B$7*(A61/'Assumptions'!$B$10)^'Assumptions'!$B$8),$F$101*(A61/'Assumptions'!$B$10)^'Assumptions'!$B$12*D61)</x:f>
        <x:v>509249.9364571039</x:v>
      </x:c>
      <x:c r="F61" s="29" t="n">
        <x:v>510000</x:v>
      </x:c>
      <x:c r="G61" s="29" t="n">
        <x:f>SUM($F$2:F61)</x:f>
        <x:v>6458250</x:v>
      </x:c>
      <x:c r="H61" s="34" t="n">
        <x:f>G61/'Assumptions'!$B$9/3600</x:f>
        <x:v>0.22147633744855966</x:v>
      </x:c>
      <x:c r="I61" s="34" t="n">
        <x:f>G61/'Assumptions'!$B$5/3600</x:f>
        <x:v>0.1328858024691358</x:v>
      </x:c>
    </x:row>
    <x:row r="62" ht="15.75" customHeight="1">
      <x:c r="A62" s="29" t="n">
        <x:v>61</x:v>
      </x:c>
      <x:c r="B62" s="29" t="n">
        <x:f>A62*'Assumptions'!$B$11</x:f>
        <x:v>305</x:v>
      </x:c>
      <x:c r="C62" s="33" t="n">
        <x:f>1+B62/100</x:f>
        <x:v>4.05</x:v>
      </x:c>
      <x:c r="D62" s="33" t="n">
        <x:f>IF(A62&lt;='Assumptions'!$B$10,1,1+('Assumptions'!$B$14-1)*(A62-'Assumptions'!$B$10)/(MAX($A$2:$A$201)-'Assumptions'!$B$10))</x:f>
        <x:v>1</x:v>
      </x:c>
      <x:c r="E62" s="29" t="n">
        <x:f>IF(A62&lt;='Assumptions'!$B$10,'Assumptions'!$B$6*A62^2*(1+'Assumptions'!$B$7*(A62/'Assumptions'!$B$10)^'Assumptions'!$B$8),$F$101*(A62/'Assumptions'!$B$10)^'Assumptions'!$B$12*D62)</x:f>
        <x:v>548228.6275010069</x:v>
      </x:c>
      <x:c r="F62" s="29" t="n">
        <x:v>550000</x:v>
      </x:c>
      <x:c r="G62" s="29" t="n">
        <x:f>SUM($F$2:F62)</x:f>
        <x:v>7008250</x:v>
      </x:c>
      <x:c r="H62" s="34" t="n">
        <x:f>G62/'Assumptions'!$B$9/3600</x:f>
        <x:v>0.2403377914951989</x:v>
      </x:c>
      <x:c r="I62" s="34" t="n">
        <x:f>G62/'Assumptions'!$B$5/3600</x:f>
        <x:v>0.14420267489711935</x:v>
      </x:c>
    </x:row>
    <x:row r="63" ht="15.75" customHeight="1">
      <x:c r="A63" s="29" t="n">
        <x:v>62</x:v>
      </x:c>
      <x:c r="B63" s="29" t="n">
        <x:f>A63*'Assumptions'!$B$11</x:f>
        <x:v>310</x:v>
      </x:c>
      <x:c r="C63" s="33" t="n">
        <x:f>1+B63/100</x:f>
        <x:v>4.1</x:v>
      </x:c>
      <x:c r="D63" s="33" t="n">
        <x:f>IF(A63&lt;='Assumptions'!$B$10,1,1+('Assumptions'!$B$14-1)*(A63-'Assumptions'!$B$10)/(MAX($A$2:$A$201)-'Assumptions'!$B$10))</x:f>
        <x:v>1</x:v>
      </x:c>
      <x:c r="E63" s="29" t="n">
        <x:f>IF(A63&lt;='Assumptions'!$B$10,'Assumptions'!$B$6*A63^2*(1+'Assumptions'!$B$7*(A63/'Assumptions'!$B$10)^'Assumptions'!$B$8),$F$101*(A63/'Assumptions'!$B$10)^'Assumptions'!$B$12*D63)</x:f>
        <x:v>589784.1742780389</x:v>
      </x:c>
      <x:c r="F63" s="29" t="n">
        <x:v>590000</x:v>
      </x:c>
      <x:c r="G63" s="29" t="n">
        <x:f>SUM($F$2:F63)</x:f>
        <x:v>7598250</x:v>
      </x:c>
      <x:c r="H63" s="34" t="n">
        <x:f>G63/'Assumptions'!$B$9/3600</x:f>
        <x:v>0.26057098765432096</x:v>
      </x:c>
      <x:c r="I63" s="34" t="n">
        <x:f>G63/'Assumptions'!$B$5/3600</x:f>
        <x:v>0.15634259259259262</x:v>
      </x:c>
    </x:row>
    <x:row r="64" ht="15.75" customHeight="1">
      <x:c r="A64" s="29" t="n">
        <x:v>63</x:v>
      </x:c>
      <x:c r="B64" s="29" t="n">
        <x:f>A64*'Assumptions'!$B$11</x:f>
        <x:v>315</x:v>
      </x:c>
      <x:c r="C64" s="33" t="n">
        <x:f>1+B64/100</x:f>
        <x:v>4.15</x:v>
      </x:c>
      <x:c r="D64" s="33" t="n">
        <x:f>IF(A64&lt;='Assumptions'!$B$10,1,1+('Assumptions'!$B$14-1)*(A64-'Assumptions'!$B$10)/(MAX($A$2:$A$201)-'Assumptions'!$B$10))</x:f>
        <x:v>1</x:v>
      </x:c>
      <x:c r="E64" s="29" t="n">
        <x:f>IF(A64&lt;='Assumptions'!$B$10,'Assumptions'!$B$6*A64^2*(1+'Assumptions'!$B$7*(A64/'Assumptions'!$B$10)^'Assumptions'!$B$8),$F$101*(A64/'Assumptions'!$B$10)^'Assumptions'!$B$12*D64)</x:f>
        <x:v>634052.6050028026</x:v>
      </x:c>
      <x:c r="F64" s="29" t="n">
        <x:v>630000</x:v>
      </x:c>
      <x:c r="G64" s="29" t="n">
        <x:f>SUM($F$2:F64)</x:f>
        <x:v>8228250</x:v>
      </x:c>
      <x:c r="H64" s="34" t="n">
        <x:f>G64/'Assumptions'!$B$9/3600</x:f>
        <x:v>0.28217592592592594</x:v>
      </x:c>
      <x:c r="I64" s="34" t="n">
        <x:f>G64/'Assumptions'!$B$5/3600</x:f>
        <x:v>0.16930555555555554</x:v>
      </x:c>
    </x:row>
    <x:row r="65" ht="15.75" customHeight="1">
      <x:c r="A65" s="29" t="n">
        <x:v>64</x:v>
      </x:c>
      <x:c r="B65" s="29" t="n">
        <x:f>A65*'Assumptions'!$B$11</x:f>
        <x:v>320</x:v>
      </x:c>
      <x:c r="C65" s="33" t="n">
        <x:f>1+B65/100</x:f>
        <x:v>4.2</x:v>
      </x:c>
      <x:c r="D65" s="33" t="n">
        <x:f>IF(A65&lt;='Assumptions'!$B$10,1,1+('Assumptions'!$B$14-1)*(A65-'Assumptions'!$B$10)/(MAX($A$2:$A$201)-'Assumptions'!$B$10))</x:f>
        <x:v>1</x:v>
      </x:c>
      <x:c r="E65" s="29" t="n">
        <x:f>IF(A65&lt;='Assumptions'!$B$10,'Assumptions'!$B$6*A65^2*(1+'Assumptions'!$B$7*(A65/'Assumptions'!$B$10)^'Assumptions'!$B$8),$F$101*(A65/'Assumptions'!$B$10)^'Assumptions'!$B$12*D65)</x:f>
        <x:v>681174.9747596899</x:v>
      </x:c>
      <x:c r="F65" s="29" t="n">
        <x:v>680000</x:v>
      </x:c>
      <x:c r="G65" s="29" t="n">
        <x:f>SUM($F$2:F65)</x:f>
        <x:v>8908250</x:v>
      </x:c>
      <x:c r="H65" s="34" t="n">
        <x:f>G65/'Assumptions'!$B$9/3600</x:f>
        <x:v>0.3054955418381345</x:v>
      </x:c>
      <x:c r="I65" s="34" t="n">
        <x:f>G65/'Assumptions'!$B$5/3600</x:f>
        <x:v>0.18329732510288066</x:v>
      </x:c>
    </x:row>
    <x:row r="66" ht="15.75" customHeight="1">
      <x:c r="A66" s="29" t="n">
        <x:v>65</x:v>
      </x:c>
      <x:c r="B66" s="29" t="n">
        <x:f>A66*'Assumptions'!$B$11</x:f>
        <x:v>325</x:v>
      </x:c>
      <x:c r="C66" s="33" t="n">
        <x:f>1+B66/100</x:f>
        <x:v>4.25</x:v>
      </x:c>
      <x:c r="D66" s="33" t="n">
        <x:f>IF(A66&lt;='Assumptions'!$B$10,1,1+('Assumptions'!$B$14-1)*(A66-'Assumptions'!$B$10)/(MAX($A$2:$A$201)-'Assumptions'!$B$10))</x:f>
        <x:v>1</x:v>
      </x:c>
      <x:c r="E66" s="29" t="n">
        <x:f>IF(A66&lt;='Assumptions'!$B$10,'Assumptions'!$B$6*A66^2*(1+'Assumptions'!$B$7*(A66/'Assumptions'!$B$10)^'Assumptions'!$B$8),$F$101*(A66/'Assumptions'!$B$10)^'Assumptions'!$B$12*D66)</x:f>
        <x:v>731297.4670523887</x:v>
      </x:c>
      <x:c r="F66" s="29" t="n">
        <x:v>730000</x:v>
      </x:c>
      <x:c r="G66" s="29" t="n">
        <x:f>SUM($F$2:F66)</x:f>
        <x:v>9638250</x:v>
      </x:c>
      <x:c r="H66" s="34" t="n">
        <x:f>G66/'Assumptions'!$B$9/3600</x:f>
        <x:v>0.3305298353909465</x:v>
      </x:c>
      <x:c r="I66" s="34" t="n">
        <x:f>G66/'Assumptions'!$B$5/3600</x:f>
        <x:v>0.1983179012345679</x:v>
      </x:c>
    </x:row>
    <x:row r="67" ht="15.75" customHeight="1">
      <x:c r="A67" s="29" t="n">
        <x:v>66</x:v>
      </x:c>
      <x:c r="B67" s="29" t="n">
        <x:f>A67*'Assumptions'!$B$11</x:f>
        <x:v>330</x:v>
      </x:c>
      <x:c r="C67" s="33" t="n">
        <x:f>1+B67/100</x:f>
        <x:v>4.3</x:v>
      </x:c>
      <x:c r="D67" s="33" t="n">
        <x:f>IF(A67&lt;='Assumptions'!$B$10,1,1+('Assumptions'!$B$14-1)*(A67-'Assumptions'!$B$10)/(MAX($A$2:$A$201)-'Assumptions'!$B$10))</x:f>
        <x:v>1</x:v>
      </x:c>
      <x:c r="E67" s="29" t="n">
        <x:f>IF(A67&lt;='Assumptions'!$B$10,'Assumptions'!$B$6*A67^2*(1+'Assumptions'!$B$7*(A67/'Assumptions'!$B$10)^'Assumptions'!$B$8),$F$101*(A67/'Assumptions'!$B$10)^'Assumptions'!$B$12*D67)</x:f>
        <x:v>784571.4957572029</x:v>
      </x:c>
      <x:c r="F67" s="29" t="n">
        <x:v>780000</x:v>
      </x:c>
      <x:c r="G67" s="29" t="n">
        <x:f>SUM($F$2:F67)</x:f>
        <x:v>10418250</x:v>
      </x:c>
      <x:c r="H67" s="34" t="n">
        <x:f>G67/'Assumptions'!$B$9/3600</x:f>
        <x:v>0.3572788065843621</x:v>
      </x:c>
      <x:c r="I67" s="34" t="n">
        <x:f>G67/'Assumptions'!$B$5/3600</x:f>
        <x:v>0.21436728395061727</x:v>
      </x:c>
    </x:row>
    <x:row r="68" ht="15.75" customHeight="1">
      <x:c r="A68" s="29" t="n">
        <x:v>67</x:v>
      </x:c>
      <x:c r="B68" s="29" t="n">
        <x:f>A68*'Assumptions'!$B$11</x:f>
        <x:v>335</x:v>
      </x:c>
      <x:c r="C68" s="33" t="n">
        <x:f>1+B68/100</x:f>
        <x:v>4.35</x:v>
      </x:c>
      <x:c r="D68" s="33" t="n">
        <x:f>IF(A68&lt;='Assumptions'!$B$10,1,1+('Assumptions'!$B$14-1)*(A68-'Assumptions'!$B$10)/(MAX($A$2:$A$201)-'Assumptions'!$B$10))</x:f>
        <x:v>1</x:v>
      </x:c>
      <x:c r="E68" s="29" t="n">
        <x:f>IF(A68&lt;='Assumptions'!$B$10,'Assumptions'!$B$6*A68^2*(1+'Assumptions'!$B$7*(A68/'Assumptions'!$B$10)^'Assumptions'!$B$8),$F$101*(A68/'Assumptions'!$B$10)^'Assumptions'!$B$12*D68)</x:f>
        <x:v>841153.8074754454</x:v>
      </x:c>
      <x:c r="F68" s="29" t="n">
        <x:v>840000</x:v>
      </x:c>
      <x:c r="G68" s="29" t="n">
        <x:f>SUM($F$2:F68)</x:f>
        <x:v>11258250</x:v>
      </x:c>
      <x:c r="H68" s="34" t="n">
        <x:f>G68/'Assumptions'!$B$9/3600</x:f>
        <x:v>0.38608539094650207</x:v>
      </x:c>
      <x:c r="I68" s="34" t="n">
        <x:f>G68/'Assumptions'!$B$5/3600</x:f>
        <x:v>0.23165123456790124</x:v>
      </x:c>
    </x:row>
    <x:row r="69" ht="15.75" customHeight="1">
      <x:c r="A69" s="29" t="n">
        <x:v>68</x:v>
      </x:c>
      <x:c r="B69" s="29" t="n">
        <x:f>A69*'Assumptions'!$B$11</x:f>
        <x:v>340</x:v>
      </x:c>
      <x:c r="C69" s="33" t="n">
        <x:f>1+B69/100</x:f>
        <x:v>4.4</x:v>
      </x:c>
      <x:c r="D69" s="33" t="n">
        <x:f>IF(A69&lt;='Assumptions'!$B$10,1,1+('Assumptions'!$B$14-1)*(A69-'Assumptions'!$B$10)/(MAX($A$2:$A$201)-'Assumptions'!$B$10))</x:f>
        <x:v>1</x:v>
      </x:c>
      <x:c r="E69" s="29" t="n">
        <x:f>IF(A69&lt;='Assumptions'!$B$10,'Assumptions'!$B$6*A69^2*(1+'Assumptions'!$B$7*(A69/'Assumptions'!$B$10)^'Assumptions'!$B$8),$F$101*(A69/'Assumptions'!$B$10)^'Assumptions'!$B$12*D69)</x:f>
        <x:v>901206.5842802911</x:v>
      </x:c>
      <x:c r="F69" s="29" t="n">
        <x:v>900000</x:v>
      </x:c>
      <x:c r="G69" s="29" t="n">
        <x:f>SUM($F$2:F69)</x:f>
        <x:v>12158250</x:v>
      </x:c>
      <x:c r="H69" s="34" t="n">
        <x:f>G69/'Assumptions'!$B$9/3600</x:f>
        <x:v>0.41694958847736624</x:v>
      </x:c>
      <x:c r="I69" s="34" t="n">
        <x:f>G69/'Assumptions'!$B$5/3600</x:f>
        <x:v>0.25016975308641975</x:v>
      </x:c>
    </x:row>
    <x:row r="70" ht="15.75" customHeight="1">
      <x:c r="A70" s="29" t="n">
        <x:v>69</x:v>
      </x:c>
      <x:c r="B70" s="29" t="n">
        <x:f>A70*'Assumptions'!$B$11</x:f>
        <x:v>345</x:v>
      </x:c>
      <x:c r="C70" s="33" t="n">
        <x:f>1+B70/100</x:f>
        <x:v>4.45</x:v>
      </x:c>
      <x:c r="D70" s="33" t="n">
        <x:f>IF(A70&lt;='Assumptions'!$B$10,1,1+('Assumptions'!$B$14-1)*(A70-'Assumptions'!$B$10)/(MAX($A$2:$A$201)-'Assumptions'!$B$10))</x:f>
        <x:v>1</x:v>
      </x:c>
      <x:c r="E70" s="29" t="n">
        <x:f>IF(A70&lt;='Assumptions'!$B$10,'Assumptions'!$B$6*A70^2*(1+'Assumptions'!$B$7*(A70/'Assumptions'!$B$10)^'Assumptions'!$B$8),$F$101*(A70/'Assumptions'!$B$10)^'Assumptions'!$B$12*D70)</x:f>
        <x:v>964897.5468535929</x:v>
      </x:c>
      <x:c r="F70" s="29" t="n">
        <x:v>960000</x:v>
      </x:c>
      <x:c r="G70" s="29" t="n">
        <x:f>SUM($F$2:F70)</x:f>
        <x:v>13118250</x:v>
      </x:c>
      <x:c r="H70" s="34" t="n">
        <x:f>G70/'Assumptions'!$B$9/3600</x:f>
        <x:v>0.44987139917695473</x:v>
      </x:c>
      <x:c r="I70" s="34" t="n">
        <x:f>G70/'Assumptions'!$B$5/3600</x:f>
        <x:v>0.26992283950617285</x:v>
      </x:c>
    </x:row>
    <x:row r="71" ht="15.75" customHeight="1">
      <x:c r="A71" s="29" t="n">
        <x:v>70</x:v>
      </x:c>
      <x:c r="B71" s="29" t="n">
        <x:f>A71*'Assumptions'!$B$11</x:f>
        <x:v>350</x:v>
      </x:c>
      <x:c r="C71" s="33" t="n">
        <x:f>1+B71/100</x:f>
        <x:v>4.5</x:v>
      </x:c>
      <x:c r="D71" s="33" t="n">
        <x:f>IF(A71&lt;='Assumptions'!$B$10,1,1+('Assumptions'!$B$14-1)*(A71-'Assumptions'!$B$10)/(MAX($A$2:$A$201)-'Assumptions'!$B$10))</x:f>
        <x:v>1</x:v>
      </x:c>
      <x:c r="E71" s="29" t="n">
        <x:f>IF(A71&lt;='Assumptions'!$B$10,'Assumptions'!$B$6*A71^2*(1+'Assumptions'!$B$7*(A71/'Assumptions'!$B$10)^'Assumptions'!$B$8),$F$101*(A71/'Assumptions'!$B$10)^'Assumptions'!$B$12*D71)</x:f>
        <x:v>1032400.0580082932</x:v>
      </x:c>
      <x:c r="F71" s="29" t="n">
        <x:v>1000000</x:v>
      </x:c>
      <x:c r="G71" s="29" t="n">
        <x:f>SUM($F$2:F71)</x:f>
        <x:v>14118250</x:v>
      </x:c>
      <x:c r="H71" s="34" t="n">
        <x:f>G71/'Assumptions'!$B$9/3600</x:f>
        <x:v>0.48416495198902604</x:v>
      </x:c>
      <x:c r="I71" s="34" t="n">
        <x:f>G71/'Assumptions'!$B$5/3600</x:f>
        <x:v>0.29049897119341567</x:v>
      </x:c>
    </x:row>
    <x:row r="72" ht="15.75" customHeight="1">
      <x:c r="A72" s="29" t="n">
        <x:v>71</x:v>
      </x:c>
      <x:c r="B72" s="29" t="n">
        <x:f>A72*'Assumptions'!$B$11</x:f>
        <x:v>355</x:v>
      </x:c>
      <x:c r="C72" s="33" t="n">
        <x:f>1+B72/100</x:f>
        <x:v>4.55</x:v>
      </x:c>
      <x:c r="D72" s="33" t="n">
        <x:f>IF(A72&lt;='Assumptions'!$B$10,1,1+('Assumptions'!$B$14-1)*(A72-'Assumptions'!$B$10)/(MAX($A$2:$A$201)-'Assumptions'!$B$10))</x:f>
        <x:v>1</x:v>
      </x:c>
      <x:c r="E72" s="29" t="n">
        <x:f>IF(A72&lt;='Assumptions'!$B$10,'Assumptions'!$B$6*A72^2*(1+'Assumptions'!$B$7*(A72/'Assumptions'!$B$10)^'Assumptions'!$B$8),$F$101*(A72/'Assumptions'!$B$10)^'Assumptions'!$B$12*D72)</x:f>
        <x:v>1103893.226592162</x:v>
      </x:c>
      <x:c r="F72" s="29" t="n">
        <x:v>1100000</x:v>
      </x:c>
      <x:c r="G72" s="29" t="n">
        <x:f>SUM($F$2:F72)</x:f>
        <x:v>15218250</x:v>
      </x:c>
      <x:c r="H72" s="34" t="n">
        <x:f>G72/'Assumptions'!$B$9/3600</x:f>
        <x:v>0.5218878600823045</x:v>
      </x:c>
      <x:c r="I72" s="34" t="n">
        <x:f>G72/'Assumptions'!$B$5/3600</x:f>
        <x:v>0.31313271604938275</x:v>
      </x:c>
    </x:row>
    <x:row r="73" ht="15.75" customHeight="1">
      <x:c r="A73" s="29" t="n">
        <x:v>72</x:v>
      </x:c>
      <x:c r="B73" s="29" t="n">
        <x:f>A73*'Assumptions'!$B$11</x:f>
        <x:v>360</x:v>
      </x:c>
      <x:c r="C73" s="33" t="n">
        <x:f>1+B73/100</x:f>
        <x:v>4.6</x:v>
      </x:c>
      <x:c r="D73" s="33" t="n">
        <x:f>IF(A73&lt;='Assumptions'!$B$10,1,1+('Assumptions'!$B$14-1)*(A73-'Assumptions'!$B$10)/(MAX($A$2:$A$201)-'Assumptions'!$B$10))</x:f>
        <x:v>1</x:v>
      </x:c>
      <x:c r="E73" s="29" t="n">
        <x:f>IF(A73&lt;='Assumptions'!$B$10,'Assumptions'!$B$6*A73^2*(1+'Assumptions'!$B$7*(A73/'Assumptions'!$B$10)^'Assumptions'!$B$8),$F$101*(A73/'Assumptions'!$B$10)^'Assumptions'!$B$12*D73)</x:f>
        <x:v>1179562.0117687148</x:v>
      </x:c>
      <x:c r="F73" s="29" t="n">
        <x:v>1200000</x:v>
      </x:c>
      <x:c r="G73" s="29" t="n">
        <x:f>SUM($F$2:F73)</x:f>
        <x:v>16418250</x:v>
      </x:c>
      <x:c r="H73" s="34" t="n">
        <x:f>G73/'Assumptions'!$B$9/3600</x:f>
        <x:v>0.5630401234567901</x:v>
      </x:c>
      <x:c r="I73" s="34" t="n">
        <x:f>G73/'Assumptions'!$B$5/3600</x:f>
        <x:v>0.3378240740740741</x:v>
      </x:c>
    </x:row>
    <x:row r="74" ht="15.75" customHeight="1">
      <x:c r="A74" s="29" t="n">
        <x:v>73</x:v>
      </x:c>
      <x:c r="B74" s="29" t="n">
        <x:f>A74*'Assumptions'!$B$11</x:f>
        <x:v>365</x:v>
      </x:c>
      <x:c r="C74" s="33" t="n">
        <x:f>1+B74/100</x:f>
        <x:v>4.65</x:v>
      </x:c>
      <x:c r="D74" s="33" t="n">
        <x:f>IF(A74&lt;='Assumptions'!$B$10,1,1+('Assumptions'!$B$14-1)*(A74-'Assumptions'!$B$10)/(MAX($A$2:$A$201)-'Assumptions'!$B$10))</x:f>
        <x:v>1</x:v>
      </x:c>
      <x:c r="E74" s="29" t="n">
        <x:f>IF(A74&lt;='Assumptions'!$B$10,'Assumptions'!$B$6*A74^2*(1+'Assumptions'!$B$7*(A74/'Assumptions'!$B$10)^'Assumptions'!$B$8),$F$101*(A74/'Assumptions'!$B$10)^'Assumptions'!$B$12*D74)</x:f>
        <x:v>1259597.3276712568</x:v>
      </x:c>
      <x:c r="F74" s="29" t="n">
        <x:v>1300000</x:v>
      </x:c>
      <x:c r="G74" s="29" t="n">
        <x:f>SUM($F$2:F74)</x:f>
        <x:v>17718250</x:v>
      </x:c>
      <x:c r="H74" s="34" t="n">
        <x:f>G74/'Assumptions'!$B$9/3600</x:f>
        <x:v>0.6076217421124828</x:v>
      </x:c>
      <x:c r="I74" s="34" t="n">
        <x:f>G74/'Assumptions'!$B$5/3600</x:f>
        <x:v>0.36457304526748974</x:v>
      </x:c>
    </x:row>
    <x:row r="75" ht="15.75" customHeight="1">
      <x:c r="A75" s="29" t="n">
        <x:v>74</x:v>
      </x:c>
      <x:c r="B75" s="29" t="n">
        <x:f>A75*'Assumptions'!$B$11</x:f>
        <x:v>370</x:v>
      </x:c>
      <x:c r="C75" s="33" t="n">
        <x:f>1+B75/100</x:f>
        <x:v>4.7</x:v>
      </x:c>
      <x:c r="D75" s="33" t="n">
        <x:f>IF(A75&lt;='Assumptions'!$B$10,1,1+('Assumptions'!$B$14-1)*(A75-'Assumptions'!$B$10)/(MAX($A$2:$A$201)-'Assumptions'!$B$10))</x:f>
        <x:v>1</x:v>
      </x:c>
      <x:c r="E75" s="29" t="n">
        <x:f>IF(A75&lt;='Assumptions'!$B$10,'Assumptions'!$B$6*A75^2*(1+'Assumptions'!$B$7*(A75/'Assumptions'!$B$10)^'Assumptions'!$B$8),$F$101*(A75/'Assumptions'!$B$10)^'Assumptions'!$B$12*D75)</x:f>
        <x:v>1344196.1484261078</x:v>
      </x:c>
      <x:c r="F75" s="29" t="n">
        <x:v>1400000</x:v>
      </x:c>
      <x:c r="G75" s="29" t="n">
        <x:f>SUM($F$2:F75)</x:f>
        <x:v>19118250</x:v>
      </x:c>
      <x:c r="H75" s="34" t="n">
        <x:f>G75/'Assumptions'!$B$9/3600</x:f>
        <x:v>0.6556327160493828</x:v>
      </x:c>
      <x:c r="I75" s="34" t="n">
        <x:f>G75/'Assumptions'!$B$5/3600</x:f>
        <x:v>0.39337962962962963</x:v>
      </x:c>
    </x:row>
    <x:row r="76" ht="15.75" customHeight="1">
      <x:c r="A76" s="29" t="n">
        <x:v>75</x:v>
      </x:c>
      <x:c r="B76" s="29" t="n">
        <x:f>A76*'Assumptions'!$B$11</x:f>
        <x:v>375</x:v>
      </x:c>
      <x:c r="C76" s="33" t="n">
        <x:f>1+B76/100</x:f>
        <x:v>4.75</x:v>
      </x:c>
      <x:c r="D76" s="33" t="n">
        <x:f>IF(A76&lt;='Assumptions'!$B$10,1,1+('Assumptions'!$B$14-1)*(A76-'Assumptions'!$B$10)/(MAX($A$2:$A$201)-'Assumptions'!$B$10))</x:f>
        <x:v>1</x:v>
      </x:c>
      <x:c r="E76" s="29" t="n">
        <x:f>IF(A76&lt;='Assumptions'!$B$10,'Assumptions'!$B$6*A76^2*(1+'Assumptions'!$B$7*(A76/'Assumptions'!$B$10)^'Assumptions'!$B$8),$F$101*(A76/'Assumptions'!$B$10)^'Assumptions'!$B$12*D76)</x:f>
        <x:v>1433561.6135411495</x:v>
      </x:c>
      <x:c r="F76" s="29" t="n">
        <x:v>1500000</x:v>
      </x:c>
      <x:c r="G76" s="29" t="n">
        <x:f>SUM($F$2:F76)</x:f>
        <x:v>20618250</x:v>
      </x:c>
      <x:c r="H76" s="34" t="n">
        <x:f>G76/'Assumptions'!$B$9/3600</x:f>
        <x:v>0.7070730452674897</x:v>
      </x:c>
      <x:c r="I76" s="34" t="n">
        <x:f>G76/'Assumptions'!$B$5/3600</x:f>
        <x:v>0.42424382716049386</x:v>
      </x:c>
    </x:row>
    <x:row r="77" ht="15.75" customHeight="1">
      <x:c r="A77" s="29" t="n">
        <x:v>76</x:v>
      </x:c>
      <x:c r="B77" s="29" t="n">
        <x:f>A77*'Assumptions'!$B$11</x:f>
        <x:v>380</x:v>
      </x:c>
      <x:c r="C77" s="33" t="n">
        <x:f>1+B77/100</x:f>
        <x:v>4.8</x:v>
      </x:c>
      <x:c r="D77" s="33" t="n">
        <x:f>IF(A77&lt;='Assumptions'!$B$10,1,1+('Assumptions'!$B$14-1)*(A77-'Assumptions'!$B$10)/(MAX($A$2:$A$201)-'Assumptions'!$B$10))</x:f>
        <x:v>1</x:v>
      </x:c>
      <x:c r="E77" s="29" t="n">
        <x:f>IF(A77&lt;='Assumptions'!$B$10,'Assumptions'!$B$6*A77^2*(1+'Assumptions'!$B$7*(A77/'Assumptions'!$B$10)^'Assumptions'!$B$8),$F$101*(A77/'Assumptions'!$B$10)^'Assumptions'!$B$12*D77)</x:f>
        <x:v>1527903.1336559416</x:v>
      </x:c>
      <x:c r="F77" s="29" t="n">
        <x:v>1600000</x:v>
      </x:c>
      <x:c r="G77" s="29" t="n">
        <x:f>SUM($F$2:F77)</x:f>
        <x:v>22218250</x:v>
      </x:c>
      <x:c r="H77" s="34" t="n">
        <x:f>G77/'Assumptions'!$B$9/3600</x:f>
        <x:v>0.7619427297668038</x:v>
      </x:c>
      <x:c r="I77" s="34" t="n">
        <x:f>G77/'Assumptions'!$B$5/3600</x:f>
        <x:v>0.4571656378600823</x:v>
      </x:c>
    </x:row>
    <x:row r="78" ht="15.75" customHeight="1">
      <x:c r="A78" s="29" t="n">
        <x:v>77</x:v>
      </x:c>
      <x:c r="B78" s="29" t="n">
        <x:f>A78*'Assumptions'!$B$11</x:f>
        <x:v>385</x:v>
      </x:c>
      <x:c r="C78" s="33" t="n">
        <x:f>1+B78/100</x:f>
        <x:v>4.85</x:v>
      </x:c>
      <x:c r="D78" s="33" t="n">
        <x:f>IF(A78&lt;='Assumptions'!$B$10,1,1+('Assumptions'!$B$14-1)*(A78-'Assumptions'!$B$10)/(MAX($A$2:$A$201)-'Assumptions'!$B$10))</x:f>
        <x:v>1</x:v>
      </x:c>
      <x:c r="E78" s="29" t="n">
        <x:f>IF(A78&lt;='Assumptions'!$B$10,'Assumptions'!$B$6*A78^2*(1+'Assumptions'!$B$7*(A78/'Assumptions'!$B$10)^'Assumptions'!$B$8),$F$101*(A78/'Assumptions'!$B$10)^'Assumptions'!$B$12*D78)</x:f>
        <x:v>1627436.49664973</x:v>
      </x:c>
      <x:c r="F78" s="29" t="n">
        <x:v>1700000</x:v>
      </x:c>
      <x:c r="G78" s="29" t="n">
        <x:f>SUM($F$2:F78)</x:f>
        <x:v>23918250</x:v>
      </x:c>
      <x:c r="H78" s="34" t="n">
        <x:f>G78/'Assumptions'!$B$9/3600</x:f>
        <x:v>0.8202417695473251</x:v>
      </x:c>
      <x:c r="I78" s="34" t="n">
        <x:f>G78/'Assumptions'!$B$5/3600</x:f>
        <x:v>0.49214506172839506</x:v>
      </x:c>
    </x:row>
    <x:row r="79" ht="15.75" customHeight="1">
      <x:c r="A79" s="29" t="n">
        <x:v>78</x:v>
      </x:c>
      <x:c r="B79" s="29" t="n">
        <x:f>A79*'Assumptions'!$B$11</x:f>
        <x:v>390</x:v>
      </x:c>
      <x:c r="C79" s="33" t="n">
        <x:f>1+B79/100</x:f>
        <x:v>4.9</x:v>
      </x:c>
      <x:c r="D79" s="33" t="n">
        <x:f>IF(A79&lt;='Assumptions'!$B$10,1,1+('Assumptions'!$B$14-1)*(A79-'Assumptions'!$B$10)/(MAX($A$2:$A$201)-'Assumptions'!$B$10))</x:f>
        <x:v>1</x:v>
      </x:c>
      <x:c r="E79" s="29" t="n">
        <x:f>IF(A79&lt;='Assumptions'!$B$10,'Assumptions'!$B$6*A79^2*(1+'Assumptions'!$B$7*(A79/'Assumptions'!$B$10)^'Assumptions'!$B$8),$F$101*(A79/'Assumptions'!$B$10)^'Assumptions'!$B$12*D79)</x:f>
        <x:v>1732383.974103764</x:v>
      </x:c>
      <x:c r="F79" s="29" t="n">
        <x:v>1800000</x:v>
      </x:c>
      <x:c r="G79" s="29" t="n">
        <x:f>SUM($F$2:F79)</x:f>
        <x:v>25718250</x:v>
      </x:c>
      <x:c r="H79" s="34" t="n">
        <x:f>G79/'Assumptions'!$B$9/3600</x:f>
        <x:v>0.8819701646090535</x:v>
      </x:c>
      <x:c r="I79" s="34" t="n">
        <x:f>G79/'Assumptions'!$B$5/3600</x:f>
        <x:v>0.5291820987654321</x:v>
      </x:c>
    </x:row>
    <x:row r="80" ht="15.75" customHeight="1">
      <x:c r="A80" s="29" t="n">
        <x:v>79</x:v>
      </x:c>
      <x:c r="B80" s="29" t="n">
        <x:f>A80*'Assumptions'!$B$11</x:f>
        <x:v>395</x:v>
      </x:c>
      <x:c r="C80" s="33" t="n">
        <x:f>1+B80/100</x:f>
        <x:v>4.95</x:v>
      </x:c>
      <x:c r="D80" s="33" t="n">
        <x:f>IF(A80&lt;='Assumptions'!$B$10,1,1+('Assumptions'!$B$14-1)*(A80-'Assumptions'!$B$10)/(MAX($A$2:$A$201)-'Assumptions'!$B$10))</x:f>
        <x:v>1</x:v>
      </x:c>
      <x:c r="E80" s="29" t="n">
        <x:f>IF(A80&lt;='Assumptions'!$B$10,'Assumptions'!$B$6*A80^2*(1+'Assumptions'!$B$7*(A80/'Assumptions'!$B$10)^'Assumptions'!$B$8),$F$101*(A80/'Assumptions'!$B$10)^'Assumptions'!$B$12*D80)</x:f>
        <x:v>1842974.4281144182</x:v>
      </x:c>
      <x:c r="F80" s="29" t="n">
        <x:v>1900000</x:v>
      </x:c>
      <x:c r="G80" s="29" t="n">
        <x:f>SUM($F$2:F80)</x:f>
        <x:v>27618250</x:v>
      </x:c>
      <x:c r="H80" s="34" t="n">
        <x:f>G80/'Assumptions'!$B$9/3600</x:f>
        <x:v>0.947127914951989</x:v>
      </x:c>
      <x:c r="I80" s="34" t="n">
        <x:f>G80/'Assumptions'!$B$5/3600</x:f>
        <x:v>0.5682767489711934</x:v>
      </x:c>
    </x:row>
    <x:row r="81" ht="15.75" customHeight="1">
      <x:c r="A81" s="29" t="n">
        <x:v>80</x:v>
      </x:c>
      <x:c r="B81" s="29" t="n">
        <x:f>A81*'Assumptions'!$B$11</x:f>
        <x:v>400</x:v>
      </x:c>
      <x:c r="C81" s="33" t="n">
        <x:f>1+B81/100</x:f>
        <x:v>5</x:v>
      </x:c>
      <x:c r="D81" s="33" t="n">
        <x:f>IF(A81&lt;='Assumptions'!$B$10,1,1+('Assumptions'!$B$14-1)*(A81-'Assumptions'!$B$10)/(MAX($A$2:$A$201)-'Assumptions'!$B$10))</x:f>
        <x:v>1</x:v>
      </x:c>
      <x:c r="E81" s="29" t="n">
        <x:f>IF(A81&lt;='Assumptions'!$B$10,'Assumptions'!$B$6*A81^2*(1+'Assumptions'!$B$7*(A81/'Assumptions'!$B$10)^'Assumptions'!$B$8),$F$101*(A81/'Assumptions'!$B$10)^'Assumptions'!$B$12*D81)</x:f>
        <x:v>1959443.4184537</x:v>
      </x:c>
      <x:c r="F81" s="29" t="n">
        <x:v>2000000</x:v>
      </x:c>
      <x:c r="G81" s="29" t="n">
        <x:f>SUM($F$2:F81)</x:f>
        <x:v>29618250</x:v>
      </x:c>
      <x:c r="H81" s="34" t="n">
        <x:f>G81/'Assumptions'!$B$9/3600</x:f>
        <x:v>1.0157150205761316</x:v>
      </x:c>
      <x:c r="I81" s="34" t="n">
        <x:f>G81/'Assumptions'!$B$5/3600</x:f>
        <x:v>0.609429012345679</x:v>
      </x:c>
    </x:row>
    <x:row r="82" ht="15.75" customHeight="1">
      <x:c r="A82" s="29" t="n">
        <x:v>81</x:v>
      </x:c>
      <x:c r="B82" s="29" t="n">
        <x:f>A82*'Assumptions'!$B$11</x:f>
        <x:v>405</x:v>
      </x:c>
      <x:c r="C82" s="33" t="n">
        <x:f>1+B82/100</x:f>
        <x:v>5.05</x:v>
      </x:c>
      <x:c r="D82" s="33" t="n">
        <x:f>IF(A82&lt;='Assumptions'!$B$10,1,1+('Assumptions'!$B$14-1)*(A82-'Assumptions'!$B$10)/(MAX($A$2:$A$201)-'Assumptions'!$B$10))</x:f>
        <x:v>1</x:v>
      </x:c>
      <x:c r="E82" s="29" t="n">
        <x:f>IF(A82&lt;='Assumptions'!$B$10,'Assumptions'!$B$6*A82^2*(1+'Assumptions'!$B$7*(A82/'Assumptions'!$B$10)^'Assumptions'!$B$8),$F$101*(A82/'Assumptions'!$B$10)^'Assumptions'!$B$12*D82)</x:f>
        <x:v>2082033.3100737887</x:v>
      </x:c>
      <x:c r="F82" s="29" t="n">
        <x:v>2100000</x:v>
      </x:c>
      <x:c r="G82" s="29" t="n">
        <x:f>SUM($F$2:F82)</x:f>
        <x:v>31718250</x:v>
      </x:c>
      <x:c r="H82" s="34" t="n">
        <x:f>G82/'Assumptions'!$B$9/3600</x:f>
        <x:v>1.0877314814814816</x:v>
      </x:c>
      <x:c r="I82" s="34" t="n">
        <x:f>G82/'Assumptions'!$B$5/3600</x:f>
        <x:v>0.6526388888888889</x:v>
      </x:c>
    </x:row>
    <x:row r="83" ht="15.75" customHeight="1">
      <x:c r="A83" s="29" t="n">
        <x:v>82</x:v>
      </x:c>
      <x:c r="B83" s="29" t="n">
        <x:f>A83*'Assumptions'!$B$11</x:f>
        <x:v>410</x:v>
      </x:c>
      <x:c r="C83" s="33" t="n">
        <x:f>1+B83/100</x:f>
        <x:v>5.1</x:v>
      </x:c>
      <x:c r="D83" s="33" t="n">
        <x:f>IF(A83&lt;='Assumptions'!$B$10,1,1+('Assumptions'!$B$14-1)*(A83-'Assumptions'!$B$10)/(MAX($A$2:$A$201)-'Assumptions'!$B$10))</x:f>
        <x:v>1</x:v>
      </x:c>
      <x:c r="E83" s="29" t="n">
        <x:f>IF(A83&lt;='Assumptions'!$B$10,'Assumptions'!$B$6*A83^2*(1+'Assumptions'!$B$7*(A83/'Assumptions'!$B$10)^'Assumptions'!$B$8),$F$101*(A83/'Assumptions'!$B$10)^'Assumptions'!$B$12*D83)</x:f>
        <x:v>2210993.380952345</x:v>
      </x:c>
      <x:c r="F83" s="29" t="n">
        <x:v>2200000</x:v>
      </x:c>
      <x:c r="G83" s="29" t="n">
        <x:f>SUM($F$2:F83)</x:f>
        <x:v>33918250</x:v>
      </x:c>
      <x:c r="H83" s="34" t="n">
        <x:f>G83/'Assumptions'!$B$9/3600</x:f>
        <x:v>1.1631772976680386</x:v>
      </x:c>
      <x:c r="I83" s="34" t="n">
        <x:f>G83/'Assumptions'!$B$5/3600</x:f>
        <x:v>0.697906378600823</x:v>
      </x:c>
    </x:row>
    <x:row r="84" ht="15.75" customHeight="1">
      <x:c r="A84" s="29" t="n">
        <x:v>83</x:v>
      </x:c>
      <x:c r="B84" s="29" t="n">
        <x:f>A84*'Assumptions'!$B$11</x:f>
        <x:v>415</x:v>
      </x:c>
      <x:c r="C84" s="33" t="n">
        <x:f>1+B84/100</x:f>
        <x:v>5.15</x:v>
      </x:c>
      <x:c r="D84" s="33" t="n">
        <x:f>IF(A84&lt;='Assumptions'!$B$10,1,1+('Assumptions'!$B$14-1)*(A84-'Assumptions'!$B$10)/(MAX($A$2:$A$201)-'Assumptions'!$B$10))</x:f>
        <x:v>1</x:v>
      </x:c>
      <x:c r="E84" s="29" t="n">
        <x:f>IF(A84&lt;='Assumptions'!$B$10,'Assumptions'!$B$6*A84^2*(1+'Assumptions'!$B$7*(A84/'Assumptions'!$B$10)^'Assumptions'!$B$8),$F$101*(A84/'Assumptions'!$B$10)^'Assumptions'!$B$12*D84)</x:f>
        <x:v>2346579.9302753825</x:v>
      </x:c>
      <x:c r="F84" s="29" t="n">
        <x:v>2400000</x:v>
      </x:c>
      <x:c r="G84" s="29" t="n">
        <x:f>SUM($F$2:F84)</x:f>
        <x:v>36318250</x:v>
      </x:c>
      <x:c r="H84" s="34" t="n">
        <x:f>G84/'Assumptions'!$B$9/3600</x:f>
        <x:v>1.2454818244170094</x:v>
      </x:c>
      <x:c r="I84" s="34" t="n">
        <x:f>G84/'Assumptions'!$B$5/3600</x:f>
        <x:v>0.7472890946502058</x:v>
      </x:c>
    </x:row>
    <x:row r="85" ht="15.75" customHeight="1">
      <x:c r="A85" s="29" t="n">
        <x:v>84</x:v>
      </x:c>
      <x:c r="B85" s="29" t="n">
        <x:f>A85*'Assumptions'!$B$11</x:f>
        <x:v>420</x:v>
      </x:c>
      <x:c r="C85" s="33" t="n">
        <x:f>1+B85/100</x:f>
        <x:v>5.2</x:v>
      </x:c>
      <x:c r="D85" s="33" t="n">
        <x:f>IF(A85&lt;='Assumptions'!$B$10,1,1+('Assumptions'!$B$14-1)*(A85-'Assumptions'!$B$10)/(MAX($A$2:$A$201)-'Assumptions'!$B$10))</x:f>
        <x:v>1</x:v>
      </x:c>
      <x:c r="E85" s="29" t="n">
        <x:f>IF(A85&lt;='Assumptions'!$B$10,'Assumptions'!$B$6*A85^2*(1+'Assumptions'!$B$7*(A85/'Assumptions'!$B$10)^'Assumptions'!$B$8),$F$101*(A85/'Assumptions'!$B$10)^'Assumptions'!$B$12*D85)</x:f>
        <x:v>2489056.3869545697</x:v>
      </x:c>
      <x:c r="F85" s="29" t="n">
        <x:v>2500000</x:v>
      </x:c>
      <x:c r="G85" s="29" t="n">
        <x:f>SUM($F$2:F85)</x:f>
        <x:v>38818250</x:v>
      </x:c>
      <x:c r="H85" s="34" t="n">
        <x:f>G85/'Assumptions'!$B$9/3600</x:f>
        <x:v>1.331215706447188</x:v>
      </x:c>
      <x:c r="I85" s="34" t="n">
        <x:f>G85/'Assumptions'!$B$5/3600</x:f>
        <x:v>0.7987294238683128</x:v>
      </x:c>
    </x:row>
    <x:row r="86" ht="15.75" customHeight="1">
      <x:c r="A86" s="29" t="n">
        <x:v>85</x:v>
      </x:c>
      <x:c r="B86" s="29" t="n">
        <x:f>A86*'Assumptions'!$B$11</x:f>
        <x:v>425</x:v>
      </x:c>
      <x:c r="C86" s="33" t="n">
        <x:f>1+B86/100</x:f>
        <x:v>5.25</x:v>
      </x:c>
      <x:c r="D86" s="33" t="n">
        <x:f>IF(A86&lt;='Assumptions'!$B$10,1,1+('Assumptions'!$B$14-1)*(A86-'Assumptions'!$B$10)/(MAX($A$2:$A$201)-'Assumptions'!$B$10))</x:f>
        <x:v>1</x:v>
      </x:c>
      <x:c r="E86" s="29" t="n">
        <x:f>IF(A86&lt;='Assumptions'!$B$10,'Assumptions'!$B$6*A86^2*(1+'Assumptions'!$B$7*(A86/'Assumptions'!$B$10)^'Assumptions'!$B$8),$F$101*(A86/'Assumptions'!$B$10)^'Assumptions'!$B$12*D86)</x:f>
        <x:v>2638693.418475908</x:v>
      </x:c>
      <x:c r="F86" s="29" t="n">
        <x:v>2700000</x:v>
      </x:c>
      <x:c r="G86" s="29" t="n">
        <x:f>SUM($F$2:F86)</x:f>
        <x:v>41518250</x:v>
      </x:c>
      <x:c r="H86" s="34" t="n">
        <x:f>G86/'Assumptions'!$B$9/3600</x:f>
        <x:v>1.4238082990397807</x:v>
      </x:c>
      <x:c r="I86" s="34" t="n">
        <x:f>G86/'Assumptions'!$B$5/3600</x:f>
        <x:v>0.8542849794238684</x:v>
      </x:c>
    </x:row>
    <x:row r="87" ht="15.75" customHeight="1">
      <x:c r="A87" s="29" t="n">
        <x:v>86</x:v>
      </x:c>
      <x:c r="B87" s="29" t="n">
        <x:f>A87*'Assumptions'!$B$11</x:f>
        <x:v>430</x:v>
      </x:c>
      <x:c r="C87" s="33" t="n">
        <x:f>1+B87/100</x:f>
        <x:v>5.3</x:v>
      </x:c>
      <x:c r="D87" s="33" t="n">
        <x:f>IF(A87&lt;='Assumptions'!$B$10,1,1+('Assumptions'!$B$14-1)*(A87-'Assumptions'!$B$10)/(MAX($A$2:$A$201)-'Assumptions'!$B$10))</x:f>
        <x:v>1</x:v>
      </x:c>
      <x:c r="E87" s="29" t="n">
        <x:f>IF(A87&lt;='Assumptions'!$B$10,'Assumptions'!$B$6*A87^2*(1+'Assumptions'!$B$7*(A87/'Assumptions'!$B$10)^'Assumptions'!$B$8),$F$101*(A87/'Assumptions'!$B$10)^'Assumptions'!$B$12*D87)</x:f>
        <x:v>2795769.040076778</x:v>
      </x:c>
      <x:c r="F87" s="29" t="n">
        <x:v>2800000</x:v>
      </x:c>
      <x:c r="G87" s="29" t="n">
        <x:f>SUM($F$2:F87)</x:f>
        <x:v>44318250</x:v>
      </x:c>
      <x:c r="H87" s="34" t="n">
        <x:f>G87/'Assumptions'!$B$9/3600</x:f>
        <x:v>1.5198302469135803</x:v>
      </x:c>
      <x:c r="I87" s="34" t="n">
        <x:f>G87/'Assumptions'!$B$5/3600</x:f>
        <x:v>0.9118981481481482</x:v>
      </x:c>
    </x:row>
    <x:row r="88" ht="15.75" customHeight="1">
      <x:c r="A88" s="29" t="n">
        <x:v>87</x:v>
      </x:c>
      <x:c r="B88" s="29" t="n">
        <x:f>A88*'Assumptions'!$B$11</x:f>
        <x:v>435</x:v>
      </x:c>
      <x:c r="C88" s="33" t="n">
        <x:f>1+B88/100</x:f>
        <x:v>5.35</x:v>
      </x:c>
      <x:c r="D88" s="33" t="n">
        <x:f>IF(A88&lt;='Assumptions'!$B$10,1,1+('Assumptions'!$B$14-1)*(A88-'Assumptions'!$B$10)/(MAX($A$2:$A$201)-'Assumptions'!$B$10))</x:f>
        <x:v>1</x:v>
      </x:c>
      <x:c r="E88" s="29" t="n">
        <x:f>IF(A88&lt;='Assumptions'!$B$10,'Assumptions'!$B$6*A88^2*(1+'Assumptions'!$B$7*(A88/'Assumptions'!$B$10)^'Assumptions'!$B$8),$F$101*(A88/'Assumptions'!$B$10)^'Assumptions'!$B$12*D88)</x:f>
        <x:v>2960568.724248415</x:v>
      </x:c>
      <x:c r="F88" s="29" t="n">
        <x:v>3000000</x:v>
      </x:c>
      <x:c r="G88" s="29" t="n">
        <x:f>SUM($F$2:F88)</x:f>
        <x:v>47318250</x:v>
      </x:c>
      <x:c r="H88" s="34" t="n">
        <x:f>G88/'Assumptions'!$B$9/3600</x:f>
        <x:v>1.6227109053497941</x:v>
      </x:c>
      <x:c r="I88" s="34" t="n">
        <x:f>G88/'Assumptions'!$B$5/3600</x:f>
        <x:v>0.9736265432098765</x:v>
      </x:c>
    </x:row>
    <x:row r="89" ht="15.75" customHeight="1">
      <x:c r="A89" s="29" t="n">
        <x:v>88</x:v>
      </x:c>
      <x:c r="B89" s="29" t="n">
        <x:f>A89*'Assumptions'!$B$11</x:f>
        <x:v>440</x:v>
      </x:c>
      <x:c r="C89" s="33" t="n">
        <x:f>1+B89/100</x:f>
        <x:v>5.4</x:v>
      </x:c>
      <x:c r="D89" s="33" t="n">
        <x:f>IF(A89&lt;='Assumptions'!$B$10,1,1+('Assumptions'!$B$14-1)*(A89-'Assumptions'!$B$10)/(MAX($A$2:$A$201)-'Assumptions'!$B$10))</x:f>
        <x:v>1</x:v>
      </x:c>
      <x:c r="E89" s="29" t="n">
        <x:f>IF(A89&lt;='Assumptions'!$B$10,'Assumptions'!$B$6*A89^2*(1+'Assumptions'!$B$7*(A89/'Assumptions'!$B$10)^'Assumptions'!$B$8),$F$101*(A89/'Assumptions'!$B$10)^'Assumptions'!$B$12*D89)</x:f>
        <x:v>3133385.510560951</x:v>
      </x:c>
      <x:c r="F89" s="29" t="n">
        <x:v>3200000</x:v>
      </x:c>
      <x:c r="G89" s="29" t="n">
        <x:f>SUM($F$2:F89)</x:f>
        <x:v>50518250</x:v>
      </x:c>
      <x:c r="H89" s="34" t="n">
        <x:f>G89/'Assumptions'!$B$9/3600</x:f>
        <x:v>1.7324502743484225</x:v>
      </x:c>
      <x:c r="I89" s="34" t="n">
        <x:f>G89/'Assumptions'!$B$5/3600</x:f>
        <x:v>1.0394701646090534</x:v>
      </x:c>
    </x:row>
    <x:row r="90" ht="15.75" customHeight="1">
      <x:c r="A90" s="29" t="n">
        <x:v>89</x:v>
      </x:c>
      <x:c r="B90" s="29" t="n">
        <x:f>A90*'Assumptions'!$B$11</x:f>
        <x:v>445</x:v>
      </x:c>
      <x:c r="C90" s="33" t="n">
        <x:f>1+B90/100</x:f>
        <x:v>5.45</x:v>
      </x:c>
      <x:c r="D90" s="33" t="n">
        <x:f>IF(A90&lt;='Assumptions'!$B$10,1,1+('Assumptions'!$B$14-1)*(A90-'Assumptions'!$B$10)/(MAX($A$2:$A$201)-'Assumptions'!$B$10))</x:f>
        <x:v>1</x:v>
      </x:c>
      <x:c r="E90" s="29" t="n">
        <x:f>IF(A90&lt;='Assumptions'!$B$10,'Assumptions'!$B$6*A90^2*(1+'Assumptions'!$B$7*(A90/'Assumptions'!$B$10)^'Assumptions'!$B$8),$F$101*(A90/'Assumptions'!$B$10)^'Assumptions'!$B$12*D90)</x:f>
        <x:v>3314520.1158081917</x:v>
      </x:c>
      <x:c r="F90" s="29" t="n">
        <x:v>3300000</x:v>
      </x:c>
      <x:c r="G90" s="29" t="n">
        <x:f>SUM($F$2:F90)</x:f>
        <x:v>53818250</x:v>
      </x:c>
      <x:c r="H90" s="34" t="n">
        <x:f>G90/'Assumptions'!$B$9/3600</x:f>
        <x:v>1.8456189986282578</x:v>
      </x:c>
      <x:c r="I90" s="34" t="n">
        <x:f>G90/'Assumptions'!$B$5/3600</x:f>
        <x:v>1.1073713991769547</x:v>
      </x:c>
    </x:row>
    <x:row r="91" ht="15.75" customHeight="1">
      <x:c r="A91" s="29" t="n">
        <x:v>90</x:v>
      </x:c>
      <x:c r="B91" s="29" t="n">
        <x:f>A91*'Assumptions'!$B$11</x:f>
        <x:v>450</x:v>
      </x:c>
      <x:c r="C91" s="33" t="n">
        <x:f>1+B91/100</x:f>
        <x:v>5.5</x:v>
      </x:c>
      <x:c r="D91" s="33" t="n">
        <x:f>IF(A91&lt;='Assumptions'!$B$10,1,1+('Assumptions'!$B$14-1)*(A91-'Assumptions'!$B$10)/(MAX($A$2:$A$201)-'Assumptions'!$B$10))</x:f>
        <x:v>1</x:v>
      </x:c>
      <x:c r="E91" s="29" t="n">
        <x:f>IF(A91&lt;='Assumptions'!$B$10,'Assumptions'!$B$6*A91^2*(1+'Assumptions'!$B$7*(A91/'Assumptions'!$B$10)^'Assumptions'!$B$8),$F$101*(A91/'Assumptions'!$B$10)^'Assumptions'!$B$12*D91)</x:f>
        <x:v>3504281.044469372</x:v>
      </x:c>
      <x:c r="F91" s="29" t="n">
        <x:v>3500000</x:v>
      </x:c>
      <x:c r="G91" s="29" t="n">
        <x:f>SUM($F$2:F91)</x:f>
        <x:v>57318250</x:v>
      </x:c>
      <x:c r="H91" s="34" t="n">
        <x:f>G91/'Assumptions'!$B$9/3600</x:f>
        <x:v>1.9656464334705075</x:v>
      </x:c>
      <x:c r="I91" s="34" t="n">
        <x:f>G91/'Assumptions'!$B$5/3600</x:f>
        <x:v>1.1793878600823047</x:v>
      </x:c>
    </x:row>
    <x:row r="92" ht="15.75" customHeight="1">
      <x:c r="A92" s="29" t="n">
        <x:v>91</x:v>
      </x:c>
      <x:c r="B92" s="29" t="n">
        <x:f>A92*'Assumptions'!$B$11</x:f>
        <x:v>455</x:v>
      </x:c>
      <x:c r="C92" s="33" t="n">
        <x:f>1+B92/100</x:f>
        <x:v>5.55</x:v>
      </x:c>
      <x:c r="D92" s="33" t="n">
        <x:f>IF(A92&lt;='Assumptions'!$B$10,1,1+('Assumptions'!$B$14-1)*(A92-'Assumptions'!$B$10)/(MAX($A$2:$A$201)-'Assumptions'!$B$10))</x:f>
        <x:v>1</x:v>
      </x:c>
      <x:c r="E92" s="29" t="n">
        <x:f>IF(A92&lt;='Assumptions'!$B$10,'Assumptions'!$B$6*A92^2*(1+'Assumptions'!$B$7*(A92/'Assumptions'!$B$10)^'Assumptions'!$B$8),$F$101*(A92/'Assumptions'!$B$10)^'Assumptions'!$B$12*D92)</x:f>
        <x:v>3702984.6994851893</x:v>
      </x:c>
      <x:c r="F92" s="29" t="n">
        <x:v>3700000</x:v>
      </x:c>
      <x:c r="G92" s="29" t="n">
        <x:f>SUM($F$2:F92)</x:f>
        <x:v>61018250</x:v>
      </x:c>
      <x:c r="H92" s="34" t="n">
        <x:f>G92/'Assumptions'!$B$9/3600</x:f>
        <x:v>2.0925325788751716</x:v>
      </x:c>
      <x:c r="I92" s="34" t="n">
        <x:f>G92/'Assumptions'!$B$5/3600</x:f>
        <x:v>1.2555195473251028</x:v>
      </x:c>
    </x:row>
    <x:row r="93" ht="15.75" customHeight="1">
      <x:c r="A93" s="29" t="n">
        <x:v>92</x:v>
      </x:c>
      <x:c r="B93" s="29" t="n">
        <x:f>A93*'Assumptions'!$B$11</x:f>
        <x:v>460</x:v>
      </x:c>
      <x:c r="C93" s="33" t="n">
        <x:f>1+B93/100</x:f>
        <x:v>5.6</x:v>
      </x:c>
      <x:c r="D93" s="33" t="n">
        <x:f>IF(A93&lt;='Assumptions'!$B$10,1,1+('Assumptions'!$B$14-1)*(A93-'Assumptions'!$B$10)/(MAX($A$2:$A$201)-'Assumptions'!$B$10))</x:f>
        <x:v>1</x:v>
      </x:c>
      <x:c r="E93" s="29" t="n">
        <x:f>IF(A93&lt;='Assumptions'!$B$10,'Assumptions'!$B$6*A93^2*(1+'Assumptions'!$B$7*(A93/'Assumptions'!$B$10)^'Assumptions'!$B$8),$F$101*(A93/'Assumptions'!$B$10)^'Assumptions'!$B$12*D93)</x:f>
        <x:v>3910955.4933454595</x:v>
      </x:c>
      <x:c r="F93" s="29" t="n">
        <x:v>3900000</x:v>
      </x:c>
      <x:c r="G93" s="29" t="n">
        <x:f>SUM($F$2:F93)</x:f>
        <x:v>64918250</x:v>
      </x:c>
      <x:c r="H93" s="34" t="n">
        <x:f>G93/'Assumptions'!$B$9/3600</x:f>
        <x:v>2.22627743484225</x:v>
      </x:c>
      <x:c r="I93" s="34" t="n">
        <x:f>G93/'Assumptions'!$B$5/3600</x:f>
        <x:v>1.3357664609053497</x:v>
      </x:c>
    </x:row>
    <x:row r="94" ht="15.75" customHeight="1">
      <x:c r="A94" s="29" t="n">
        <x:v>93</x:v>
      </x:c>
      <x:c r="B94" s="29" t="n">
        <x:f>A94*'Assumptions'!$B$11</x:f>
        <x:v>465</x:v>
      </x:c>
      <x:c r="C94" s="33" t="n">
        <x:f>1+B94/100</x:f>
        <x:v>5.65</x:v>
      </x:c>
      <x:c r="D94" s="33" t="n">
        <x:f>IF(A94&lt;='Assumptions'!$B$10,1,1+('Assumptions'!$B$14-1)*(A94-'Assumptions'!$B$10)/(MAX($A$2:$A$201)-'Assumptions'!$B$10))</x:f>
        <x:v>1</x:v>
      </x:c>
      <x:c r="E94" s="29" t="n">
        <x:f>IF(A94&lt;='Assumptions'!$B$10,'Assumptions'!$B$6*A94^2*(1+'Assumptions'!$B$7*(A94/'Assumptions'!$B$10)^'Assumptions'!$B$8),$F$101*(A94/'Assumptions'!$B$10)^'Assumptions'!$B$12*D94)</x:f>
        <x:v>4128525.959485786</x:v>
      </x:c>
      <x:c r="F94" s="29" t="n">
        <x:v>4200000</x:v>
      </x:c>
      <x:c r="G94" s="29" t="n">
        <x:f>SUM($F$2:F94)</x:f>
        <x:v>69118250</x:v>
      </x:c>
      <x:c r="H94" s="34" t="n">
        <x:f>G94/'Assumptions'!$B$9/3600</x:f>
        <x:v>2.3703103566529493</x:v>
      </x:c>
      <x:c r="I94" s="34" t="n">
        <x:f>G94/'Assumptions'!$B$5/3600</x:f>
        <x:v>1.4221862139917696</x:v>
      </x:c>
    </x:row>
    <x:row r="95" ht="15.75" customHeight="1">
      <x:c r="A95" s="29" t="n">
        <x:v>94</x:v>
      </x:c>
      <x:c r="B95" s="29" t="n">
        <x:f>A95*'Assumptions'!$B$11</x:f>
        <x:v>470</x:v>
      </x:c>
      <x:c r="C95" s="33" t="n">
        <x:f>1+B95/100</x:f>
        <x:v>5.7</x:v>
      </x:c>
      <x:c r="D95" s="33" t="n">
        <x:f>IF(A95&lt;='Assumptions'!$B$10,1,1+('Assumptions'!$B$14-1)*(A95-'Assumptions'!$B$10)/(MAX($A$2:$A$201)-'Assumptions'!$B$10))</x:f>
        <x:v>1</x:v>
      </x:c>
      <x:c r="E95" s="29" t="n">
        <x:f>IF(A95&lt;='Assumptions'!$B$10,'Assumptions'!$B$6*A95^2*(1+'Assumptions'!$B$7*(A95/'Assumptions'!$B$10)^'Assumptions'!$B$8),$F$101*(A95/'Assumptions'!$B$10)^'Assumptions'!$B$12*D95)</x:f>
        <x:v>4356036.863990708</x:v>
      </x:c>
      <x:c r="F95" s="29" t="n">
        <x:v>4400000</x:v>
      </x:c>
      <x:c r="G95" s="29" t="n">
        <x:f>SUM($F$2:F95)</x:f>
        <x:v>73518250</x:v>
      </x:c>
      <x:c r="H95" s="34" t="n">
        <x:f>G95/'Assumptions'!$B$9/3600</x:f>
        <x:v>2.5212019890260633</x:v>
      </x:c>
      <x:c r="I95" s="34" t="n">
        <x:f>G95/'Assumptions'!$B$5/3600</x:f>
        <x:v>1.512721193415638</x:v>
      </x:c>
    </x:row>
    <x:row r="96" ht="15.75" customHeight="1">
      <x:c r="A96" s="29" t="n">
        <x:v>95</x:v>
      </x:c>
      <x:c r="B96" s="29" t="n">
        <x:f>A96*'Assumptions'!$B$11</x:f>
        <x:v>475</x:v>
      </x:c>
      <x:c r="C96" s="33" t="n">
        <x:f>1+B96/100</x:f>
        <x:v>5.75</x:v>
      </x:c>
      <x:c r="D96" s="33" t="n">
        <x:f>IF(A96&lt;='Assumptions'!$B$10,1,1+('Assumptions'!$B$14-1)*(A96-'Assumptions'!$B$10)/(MAX($A$2:$A$201)-'Assumptions'!$B$10))</x:f>
        <x:v>1</x:v>
      </x:c>
      <x:c r="E96" s="29" t="n">
        <x:f>IF(A96&lt;='Assumptions'!$B$10,'Assumptions'!$B$6*A96^2*(1+'Assumptions'!$B$7*(A96/'Assumptions'!$B$10)^'Assumptions'!$B$8),$F$101*(A96/'Assumptions'!$B$10)^'Assumptions'!$B$12*D96)</x:f>
        <x:v>4593837.317600816</x:v>
      </x:c>
      <x:c r="F96" s="29" t="n">
        <x:v>4600000</x:v>
      </x:c>
      <x:c r="G96" s="29" t="n">
        <x:f>SUM($F$2:F96)</x:f>
        <x:v>78118250</x:v>
      </x:c>
      <x:c r="H96" s="34" t="n">
        <x:f>G96/'Assumptions'!$B$9/3600</x:f>
        <x:v>2.678952331961591</x:v>
      </x:c>
      <x:c r="I96" s="34" t="n">
        <x:f>G96/'Assumptions'!$B$5/3600</x:f>
        <x:v>1.607371399176955</x:v>
      </x:c>
    </x:row>
    <x:row r="97" ht="15.75" customHeight="1">
      <x:c r="A97" s="29" t="n">
        <x:v>96</x:v>
      </x:c>
      <x:c r="B97" s="29" t="n">
        <x:f>A97*'Assumptions'!$B$11</x:f>
        <x:v>480</x:v>
      </x:c>
      <x:c r="C97" s="33" t="n">
        <x:f>1+B97/100</x:f>
        <x:v>5.8</x:v>
      </x:c>
      <x:c r="D97" s="33" t="n">
        <x:f>IF(A97&lt;='Assumptions'!$B$10,1,1+('Assumptions'!$B$14-1)*(A97-'Assumptions'!$B$10)/(MAX($A$2:$A$201)-'Assumptions'!$B$10))</x:f>
        <x:v>1</x:v>
      </x:c>
      <x:c r="E97" s="29" t="n">
        <x:f>IF(A97&lt;='Assumptions'!$B$10,'Assumptions'!$B$6*A97^2*(1+'Assumptions'!$B$7*(A97/'Assumptions'!$B$10)^'Assumptions'!$B$8),$F$101*(A97/'Assumptions'!$B$10)^'Assumptions'!$B$12*D97)</x:f>
        <x:v>4842284.888021373</x:v>
      </x:c>
      <x:c r="F97" s="29" t="n">
        <x:v>4900000</x:v>
      </x:c>
      <x:c r="G97" s="29" t="n">
        <x:f>SUM($F$2:F97)</x:f>
        <x:v>83018250</x:v>
      </x:c>
      <x:c r="H97" s="34" t="n">
        <x:f>G97/'Assumptions'!$B$9/3600</x:f>
        <x:v>2.8469907407407407</x:v>
      </x:c>
      <x:c r="I97" s="34" t="n">
        <x:f>G97/'Assumptions'!$B$5/3600</x:f>
        <x:v>1.7081944444444443</x:v>
      </x:c>
    </x:row>
    <x:row r="98" ht="15.75" customHeight="1">
      <x:c r="A98" s="29" t="n">
        <x:v>97</x:v>
      </x:c>
      <x:c r="B98" s="29" t="n">
        <x:f>A98*'Assumptions'!$B$11</x:f>
        <x:v>485</x:v>
      </x:c>
      <x:c r="C98" s="33" t="n">
        <x:f>1+B98/100</x:f>
        <x:v>5.85</x:v>
      </x:c>
      <x:c r="D98" s="33" t="n">
        <x:f>IF(A98&lt;='Assumptions'!$B$10,1,1+('Assumptions'!$B$14-1)*(A98-'Assumptions'!$B$10)/(MAX($A$2:$A$201)-'Assumptions'!$B$10))</x:f>
        <x:v>1</x:v>
      </x:c>
      <x:c r="E98" s="29" t="n">
        <x:f>IF(A98&lt;='Assumptions'!$B$10,'Assumptions'!$B$6*A98^2*(1+'Assumptions'!$B$7*(A98/'Assumptions'!$B$10)^'Assumptions'!$B$8),$F$101*(A98/'Assumptions'!$B$10)^'Assumptions'!$B$12*D98)</x:f>
        <x:v>5101745.712530044</x:v>
      </x:c>
      <x:c r="F98" s="29" t="n">
        <x:v>5100000</x:v>
      </x:c>
      <x:c r="G98" s="29" t="n">
        <x:f>SUM($F$2:F98)</x:f>
        <x:v>88118250</x:v>
      </x:c>
      <x:c r="H98" s="34" t="n">
        <x:f>G98/'Assumptions'!$B$9/3600</x:f>
        <x:v>3.0218878600823045</x:v>
      </x:c>
      <x:c r="I98" s="34" t="n">
        <x:f>G98/'Assumptions'!$B$5/3600</x:f>
        <x:v>1.8131327160493826</x:v>
      </x:c>
    </x:row>
    <x:row r="99" ht="15.75" customHeight="1">
      <x:c r="A99" s="29" t="n">
        <x:v>98</x:v>
      </x:c>
      <x:c r="B99" s="29" t="n">
        <x:f>A99*'Assumptions'!$B$11</x:f>
        <x:v>490</x:v>
      </x:c>
      <x:c r="C99" s="33" t="n">
        <x:f>1+B99/100</x:f>
        <x:v>5.9</x:v>
      </x:c>
      <x:c r="D99" s="33" t="n">
        <x:f>IF(A99&lt;='Assumptions'!$B$10,1,1+('Assumptions'!$B$14-1)*(A99-'Assumptions'!$B$10)/(MAX($A$2:$A$201)-'Assumptions'!$B$10))</x:f>
        <x:v>1</x:v>
      </x:c>
      <x:c r="E99" s="29" t="n">
        <x:f>IF(A99&lt;='Assumptions'!$B$10,'Assumptions'!$B$6*A99^2*(1+'Assumptions'!$B$7*(A99/'Assumptions'!$B$10)^'Assumptions'!$B$8),$F$101*(A99/'Assumptions'!$B$10)^'Assumptions'!$B$12*D99)</x:f>
        <x:v>5372594.610881372</x:v>
      </x:c>
      <x:c r="F99" s="29" t="n">
        <x:v>5400000</x:v>
      </x:c>
      <x:c r="G99" s="29" t="n">
        <x:f>SUM($F$2:F99)</x:f>
        <x:v>93518250</x:v>
      </x:c>
      <x:c r="H99" s="34" t="n">
        <x:f>G99/'Assumptions'!$B$9/3600</x:f>
        <x:v>3.20707304526749</x:v>
      </x:c>
      <x:c r="I99" s="34" t="n">
        <x:f>G99/'Assumptions'!$B$5/3600</x:f>
        <x:v>1.9242438271604938</x:v>
      </x:c>
    </x:row>
    <x:row r="100" ht="15.75" customHeight="1">
      <x:c r="A100" s="29" t="n">
        <x:v>99</x:v>
      </x:c>
      <x:c r="B100" s="29" t="n">
        <x:f>A100*'Assumptions'!$B$11</x:f>
        <x:v>495</x:v>
      </x:c>
      <x:c r="C100" s="33" t="n">
        <x:f>1+B100/100</x:f>
        <x:v>5.95</x:v>
      </x:c>
      <x:c r="D100" s="33" t="n">
        <x:f>IF(A100&lt;='Assumptions'!$B$10,1,1+('Assumptions'!$B$14-1)*(A100-'Assumptions'!$B$10)/(MAX($A$2:$A$201)-'Assumptions'!$B$10))</x:f>
        <x:v>1</x:v>
      </x:c>
      <x:c r="E100" s="29" t="n">
        <x:f>IF(A100&lt;='Assumptions'!$B$10,'Assumptions'!$B$6*A100^2*(1+'Assumptions'!$B$7*(A100/'Assumptions'!$B$10)^'Assumptions'!$B$8),$F$101*(A100/'Assumptions'!$B$10)^'Assumptions'!$B$12*D100)</x:f>
        <x:v>5655215.1985056605</x:v>
      </x:c>
      <x:c r="F100" s="29" t="n">
        <x:v>5700000</x:v>
      </x:c>
      <x:c r="G100" s="29" t="n">
        <x:f>SUM($F$2:F100)</x:f>
        <x:v>99218250</x:v>
      </x:c>
      <x:c r="H100" s="34" t="n">
        <x:f>G100/'Assumptions'!$B$9/3600</x:f>
        <x:v>3.402546296296296</x:v>
      </x:c>
      <x:c r="I100" s="34" t="n">
        <x:f>G100/'Assumptions'!$B$5/3600</x:f>
        <x:v>2.0415277777777776</x:v>
      </x:c>
    </x:row>
    <x:row r="101" ht="15.75" customHeight="1">
      <x:c r="A101" s="29" t="n">
        <x:v>100</x:v>
      </x:c>
      <x:c r="B101" s="29" t="n">
        <x:f>A101*'Assumptions'!$B$11</x:f>
        <x:v>500</x:v>
      </x:c>
      <x:c r="C101" s="33" t="n">
        <x:f>1+B101/100</x:f>
        <x:v>6</x:v>
      </x:c>
      <x:c r="D101" s="33" t="n">
        <x:f>IF(A101&lt;='Assumptions'!$B$10,1,1+('Assumptions'!$B$14-1)*(A101-'Assumptions'!$B$10)/(MAX($A$2:$A$201)-'Assumptions'!$B$10))</x:f>
        <x:v>1</x:v>
      </x:c>
      <x:c r="E101" s="29" t="n">
        <x:f>IF(A101&lt;='Assumptions'!$B$10,'Assumptions'!$B$6*A101^2*(1+'Assumptions'!$B$7*(A101/'Assumptions'!$B$10)^'Assumptions'!$B$8),$F$101*(A101/'Assumptions'!$B$10)^'Assumptions'!$B$12*D101)</x:f>
        <x:v>5950000</x:v>
      </x:c>
      <x:c r="F101" s="29" t="n">
        <x:v>6000000</x:v>
      </x:c>
      <x:c r="G101" s="29" t="n">
        <x:f>SUM($F$2:F101)</x:f>
        <x:v>105218250</x:v>
      </x:c>
      <x:c r="H101" s="34" t="n">
        <x:f>G101/'Assumptions'!$B$9/3600</x:f>
        <x:v>3.608307613168724</x:v>
      </x:c>
      <x:c r="I101" s="34" t="n">
        <x:f>G101/'Assumptions'!$B$5/3600</x:f>
        <x:v>2.1649845679012345</x:v>
      </x:c>
    </x:row>
    <x:row r="102">
      <x:c r="A102" s="29" t="n">
        <x:v>101</x:v>
      </x:c>
      <x:c r="B102" s="29" t="n">
        <x:f>A102*'Assumptions'!$B$11</x:f>
        <x:v>505</x:v>
      </x:c>
      <x:c r="C102" s="33" t="n">
        <x:f>1+B102/100</x:f>
        <x:v>6.05</x:v>
      </x:c>
      <x:c r="D102" s="33" t="n">
        <x:f>IF(A102&lt;='Assumptions'!$B$10,1,1+('Assumptions'!$B$14-1)*(A102-'Assumptions'!$B$10)/(MAX($A$2:$A$201)-'Assumptions'!$B$10))</x:f>
        <x:v>1.02</x:v>
      </x:c>
      <x:c r="E102" s="29" t="n">
        <x:f>IF(A102&lt;='Assumptions'!$B$10,'Assumptions'!$B$6*A102^2*(1+'Assumptions'!$B$7*(A102/'Assumptions'!$B$10)^'Assumptions'!$B$8),$F$101*(A102/'Assumptions'!$B$10)^'Assumptions'!$B$12*D102)</x:f>
        <x:v>6368496.541200001</x:v>
      </x:c>
      <x:c r="F102" s="29" t="n">
        <x:f>ROUND(E102/'Assumptions'!$B$13,0)*'Assumptions'!$B$13</x:f>
        <x:v>6400000</x:v>
      </x:c>
      <x:c r="G102" s="29" t="n">
        <x:f>SUM($F$2:F102)</x:f>
        <x:v>111618250</x:v>
      </x:c>
      <x:c r="H102" s="34" t="n">
        <x:f>G102/'Assumptions'!$B$9/3600</x:f>
        <x:v>3.827786351165981</x:v>
      </x:c>
      <x:c r="I102" s="34" t="n">
        <x:f>G102/'Assumptions'!$B$5/3600</x:f>
        <x:v>2.2966718106995883</x:v>
      </x:c>
    </x:row>
    <x:row r="103">
      <x:c r="A103" s="29" t="n">
        <x:v>102</x:v>
      </x:c>
      <x:c r="B103" s="29" t="n">
        <x:f>A103*'Assumptions'!$B$11</x:f>
        <x:v>510</x:v>
      </x:c>
      <x:c r="C103" s="33" t="n">
        <x:f>1+B103/100</x:f>
        <x:v>6.1</x:v>
      </x:c>
      <x:c r="D103" s="33" t="n">
        <x:f>IF(A103&lt;='Assumptions'!$B$10,1,1+('Assumptions'!$B$14-1)*(A103-'Assumptions'!$B$10)/(MAX($A$2:$A$201)-'Assumptions'!$B$10))</x:f>
        <x:v>1.04</x:v>
      </x:c>
      <x:c r="E103" s="29" t="n">
        <x:f>IF(A103&lt;='Assumptions'!$B$10,'Assumptions'!$B$6*A103^2*(1+'Assumptions'!$B$7*(A103/'Assumptions'!$B$10)^'Assumptions'!$B$8),$F$101*(A103/'Assumptions'!$B$10)^'Assumptions'!$B$12*D103)</x:f>
        <x:v>6754376.678400001</x:v>
      </x:c>
      <x:c r="F103" s="29" t="n">
        <x:f>ROUND(E103/'Assumptions'!$B$13,0)*'Assumptions'!$B$13</x:f>
        <x:v>6800000</x:v>
      </x:c>
      <x:c r="G103" s="29" t="n">
        <x:f>SUM($F$2:F103)</x:f>
        <x:v>118418250</x:v>
      </x:c>
      <x:c r="H103" s="34" t="n">
        <x:f>G103/'Assumptions'!$B$9/3600</x:f>
        <x:v>4.060982510288066</x:v>
      </x:c>
      <x:c r="I103" s="34" t="n">
        <x:f>G103/'Assumptions'!$B$5/3600</x:f>
        <x:v>2.4365895061728398</x:v>
      </x:c>
    </x:row>
    <x:row r="104">
      <x:c r="A104" s="29" t="n">
        <x:v>103</x:v>
      </x:c>
      <x:c r="B104" s="29" t="n">
        <x:f>A104*'Assumptions'!$B$11</x:f>
        <x:v>515</x:v>
      </x:c>
      <x:c r="C104" s="33" t="n">
        <x:f>1+B104/100</x:f>
        <x:v>6.15</x:v>
      </x:c>
      <x:c r="D104" s="33" t="n">
        <x:f>IF(A104&lt;='Assumptions'!$B$10,1,1+('Assumptions'!$B$14-1)*(A104-'Assumptions'!$B$10)/(MAX($A$2:$A$201)-'Assumptions'!$B$10))</x:f>
        <x:v>1.06</x:v>
      </x:c>
      <x:c r="E104" s="29" t="n">
        <x:f>IF(A104&lt;='Assumptions'!$B$10,'Assumptions'!$B$6*A104^2*(1+'Assumptions'!$B$7*(A104/'Assumptions'!$B$10)^'Assumptions'!$B$8),$F$101*(A104/'Assumptions'!$B$10)^'Assumptions'!$B$12*D104)</x:f>
        <x:v>7158236.031600001</x:v>
      </x:c>
      <x:c r="F104" s="29" t="n">
        <x:f>ROUND(E104/'Assumptions'!$B$13,0)*'Assumptions'!$B$13</x:f>
        <x:v>7200000</x:v>
      </x:c>
      <x:c r="G104" s="29" t="n">
        <x:f>SUM($F$2:F104)</x:f>
        <x:v>125618250</x:v>
      </x:c>
      <x:c r="H104" s="34" t="n">
        <x:f>G104/'Assumptions'!$B$9/3600</x:f>
        <x:v>4.307896090534979</x:v>
      </x:c>
      <x:c r="I104" s="34" t="n">
        <x:f>G104/'Assumptions'!$B$5/3600</x:f>
        <x:v>2.5847376543209872</x:v>
      </x:c>
    </x:row>
    <x:row r="105">
      <x:c r="A105" s="29" t="n">
        <x:v>104</x:v>
      </x:c>
      <x:c r="B105" s="29" t="n">
        <x:f>A105*'Assumptions'!$B$11</x:f>
        <x:v>520</x:v>
      </x:c>
      <x:c r="C105" s="33" t="n">
        <x:f>1+B105/100</x:f>
        <x:v>6.2</x:v>
      </x:c>
      <x:c r="D105" s="33" t="n">
        <x:f>IF(A105&lt;='Assumptions'!$B$10,1,1+('Assumptions'!$B$14-1)*(A105-'Assumptions'!$B$10)/(MAX($A$2:$A$201)-'Assumptions'!$B$10))</x:f>
        <x:v>1.08</x:v>
      </x:c>
      <x:c r="E105" s="29" t="n">
        <x:f>IF(A105&lt;='Assumptions'!$B$10,'Assumptions'!$B$6*A105^2*(1+'Assumptions'!$B$7*(A105/'Assumptions'!$B$10)^'Assumptions'!$B$8),$F$101*(A105/'Assumptions'!$B$10)^'Assumptions'!$B$12*D105)</x:f>
        <x:v>7580683.468800002</x:v>
      </x:c>
      <x:c r="F105" s="29" t="n">
        <x:f>ROUND(E105/'Assumptions'!$B$13,0)*'Assumptions'!$B$13</x:f>
        <x:v>7600000</x:v>
      </x:c>
      <x:c r="G105" s="29" t="n">
        <x:f>SUM($F$2:F105)</x:f>
        <x:v>133218250</x:v>
      </x:c>
      <x:c r="H105" s="34" t="n">
        <x:f>G105/'Assumptions'!$B$9/3600</x:f>
        <x:v>4.568527091906721</x:v>
      </x:c>
      <x:c r="I105" s="34" t="n">
        <x:f>G105/'Assumptions'!$B$5/3600</x:f>
        <x:v>2.741116255144033</x:v>
      </x:c>
    </x:row>
    <x:row r="106">
      <x:c r="A106" s="29" t="n">
        <x:v>105</x:v>
      </x:c>
      <x:c r="B106" s="29" t="n">
        <x:f>A106*'Assumptions'!$B$11</x:f>
        <x:v>525</x:v>
      </x:c>
      <x:c r="C106" s="33" t="n">
        <x:f>1+B106/100</x:f>
        <x:v>6.25</x:v>
      </x:c>
      <x:c r="D106" s="33" t="n">
        <x:f>IF(A106&lt;='Assumptions'!$B$10,1,1+('Assumptions'!$B$14-1)*(A106-'Assumptions'!$B$10)/(MAX($A$2:$A$201)-'Assumptions'!$B$10))</x:f>
        <x:v>1.1</x:v>
      </x:c>
      <x:c r="E106" s="29" t="n">
        <x:f>IF(A106&lt;='Assumptions'!$B$10,'Assumptions'!$B$6*A106^2*(1+'Assumptions'!$B$7*(A106/'Assumptions'!$B$10)^'Assumptions'!$B$8),$F$101*(A106/'Assumptions'!$B$10)^'Assumptions'!$B$12*D106)</x:f>
        <x:v>8022341.250000002</x:v>
      </x:c>
      <x:c r="F106" s="29" t="n">
        <x:f>ROUND(E106/'Assumptions'!$B$13,0)*'Assumptions'!$B$13</x:f>
        <x:v>8000000</x:v>
      </x:c>
      <x:c r="G106" s="29" t="n">
        <x:f>SUM($F$2:F106)</x:f>
        <x:v>141218250</x:v>
      </x:c>
      <x:c r="H106" s="34" t="n">
        <x:f>G106/'Assumptions'!$B$9/3600</x:f>
        <x:v>4.842875514403292</x:v>
      </x:c>
      <x:c r="I106" s="34" t="n">
        <x:f>G106/'Assumptions'!$B$5/3600</x:f>
        <x:v>2.9057253086419754</x:v>
      </x:c>
    </x:row>
    <x:row r="107">
      <x:c r="A107" s="29" t="n">
        <x:v>106</x:v>
      </x:c>
      <x:c r="B107" s="29" t="n">
        <x:f>A107*'Assumptions'!$B$11</x:f>
        <x:v>530</x:v>
      </x:c>
      <x:c r="C107" s="33" t="n">
        <x:f>1+B107/100</x:f>
        <x:v>6.3</x:v>
      </x:c>
      <x:c r="D107" s="33" t="n">
        <x:f>IF(A107&lt;='Assumptions'!$B$10,1,1+('Assumptions'!$B$14-1)*(A107-'Assumptions'!$B$10)/(MAX($A$2:$A$201)-'Assumptions'!$B$10))</x:f>
        <x:v>1.12</x:v>
      </x:c>
      <x:c r="E107" s="29" t="n">
        <x:f>IF(A107&lt;='Assumptions'!$B$10,'Assumptions'!$B$6*A107^2*(1+'Assumptions'!$B$7*(A107/'Assumptions'!$B$10)^'Assumptions'!$B$8),$F$101*(A107/'Assumptions'!$B$10)^'Assumptions'!$B$12*D107)</x:f>
        <x:v>8483845.171200003</x:v>
      </x:c>
      <x:c r="F107" s="29" t="n">
        <x:f>ROUND(E107/'Assumptions'!$B$13,0)*'Assumptions'!$B$13</x:f>
        <x:v>8500000</x:v>
      </x:c>
      <x:c r="G107" s="29" t="n">
        <x:f>SUM($F$2:F107)</x:f>
        <x:v>149718250</x:v>
      </x:c>
      <x:c r="H107" s="34" t="n">
        <x:f>G107/'Assumptions'!$B$9/3600</x:f>
        <x:v>5.1343707133058984</x:v>
      </x:c>
      <x:c r="I107" s="34" t="n">
        <x:f>G107/'Assumptions'!$B$5/3600</x:f>
        <x:v>3.0806224279835392</x:v>
      </x:c>
    </x:row>
    <x:row r="108">
      <x:c r="A108" s="29" t="n">
        <x:v>107</x:v>
      </x:c>
      <x:c r="B108" s="29" t="n">
        <x:f>A108*'Assumptions'!$B$11</x:f>
        <x:v>535</x:v>
      </x:c>
      <x:c r="C108" s="33" t="n">
        <x:f>1+B108/100</x:f>
        <x:v>6.35</x:v>
      </x:c>
      <x:c r="D108" s="33" t="n">
        <x:f>IF(A108&lt;='Assumptions'!$B$10,1,1+('Assumptions'!$B$14-1)*(A108-'Assumptions'!$B$10)/(MAX($A$2:$A$201)-'Assumptions'!$B$10))</x:f>
        <x:v>1.1400000000000001</x:v>
      </x:c>
      <x:c r="E108" s="29" t="n">
        <x:f>IF(A108&lt;='Assumptions'!$B$10,'Assumptions'!$B$6*A108^2*(1+'Assumptions'!$B$7*(A108/'Assumptions'!$B$10)^'Assumptions'!$B$8),$F$101*(A108/'Assumptions'!$B$10)^'Assumptions'!$B$12*D108)</x:f>
        <x:v>8965844.708400002</x:v>
      </x:c>
      <x:c r="F108" s="29" t="n">
        <x:f>ROUND(E108/'Assumptions'!$B$13,0)*'Assumptions'!$B$13</x:f>
        <x:v>9000000</x:v>
      </x:c>
      <x:c r="G108" s="29" t="n">
        <x:f>SUM($F$2:F108)</x:f>
        <x:v>158718250</x:v>
      </x:c>
      <x:c r="H108" s="34" t="n">
        <x:f>G108/'Assumptions'!$B$9/3600</x:f>
        <x:v>5.44301268861454</x:v>
      </x:c>
      <x:c r="I108" s="34" t="n">
        <x:f>G108/'Assumptions'!$B$5/3600</x:f>
        <x:v>3.2658076131687244</x:v>
      </x:c>
    </x:row>
    <x:row r="109">
      <x:c r="A109" s="29" t="n">
        <x:v>108</x:v>
      </x:c>
      <x:c r="B109" s="29" t="n">
        <x:f>A109*'Assumptions'!$B$11</x:f>
        <x:v>540</x:v>
      </x:c>
      <x:c r="C109" s="33" t="n">
        <x:f>1+B109/100</x:f>
        <x:v>6.4</x:v>
      </x:c>
      <x:c r="D109" s="33" t="n">
        <x:f>IF(A109&lt;='Assumptions'!$B$10,1,1+('Assumptions'!$B$14-1)*(A109-'Assumptions'!$B$10)/(MAX($A$2:$A$201)-'Assumptions'!$B$10))</x:f>
        <x:v>1.16</x:v>
      </x:c>
      <x:c r="E109" s="29" t="n">
        <x:f>IF(A109&lt;='Assumptions'!$B$10,'Assumptions'!$B$6*A109^2*(1+'Assumptions'!$B$7*(A109/'Assumptions'!$B$10)^'Assumptions'!$B$8),$F$101*(A109/'Assumptions'!$B$10)^'Assumptions'!$B$12*D109)</x:f>
        <x:v>9469003.161600001</x:v>
      </x:c>
      <x:c r="F109" s="29" t="n">
        <x:f>ROUND(E109/'Assumptions'!$B$13,0)*'Assumptions'!$B$13</x:f>
        <x:v>9500000</x:v>
      </x:c>
      <x:c r="G109" s="29" t="n">
        <x:f>SUM($F$2:F109)</x:f>
        <x:v>168218250</x:v>
      </x:c>
      <x:c r="H109" s="34" t="n">
        <x:f>G109/'Assumptions'!$B$9/3600</x:f>
        <x:v>5.768801440329218</x:v>
      </x:c>
      <x:c r="I109" s="34" t="n">
        <x:f>G109/'Assumptions'!$B$5/3600</x:f>
        <x:v>3.461280864197531</x:v>
      </x:c>
    </x:row>
    <x:row r="110">
      <x:c r="A110" s="29" t="n">
        <x:v>109</x:v>
      </x:c>
      <x:c r="B110" s="29" t="n">
        <x:f>A110*'Assumptions'!$B$11</x:f>
        <x:v>545</x:v>
      </x:c>
      <x:c r="C110" s="33" t="n">
        <x:f>1+B110/100</x:f>
        <x:v>6.45</x:v>
      </x:c>
      <x:c r="D110" s="33" t="n">
        <x:f>IF(A110&lt;='Assumptions'!$B$10,1,1+('Assumptions'!$B$14-1)*(A110-'Assumptions'!$B$10)/(MAX($A$2:$A$201)-'Assumptions'!$B$10))</x:f>
        <x:v>1.18</x:v>
      </x:c>
      <x:c r="E110" s="29" t="n">
        <x:f>IF(A110&lt;='Assumptions'!$B$10,'Assumptions'!$B$6*A110^2*(1+'Assumptions'!$B$7*(A110/'Assumptions'!$B$10)^'Assumptions'!$B$8),$F$101*(A110/'Assumptions'!$B$10)^'Assumptions'!$B$12*D110)</x:f>
        <x:v>9993997.7988</x:v>
      </x:c>
      <x:c r="F110" s="29" t="n">
        <x:f>ROUND(E110/'Assumptions'!$B$13,0)*'Assumptions'!$B$13</x:f>
        <x:v>10000000</x:v>
      </x:c>
      <x:c r="G110" s="29" t="n">
        <x:f>SUM($F$2:F110)</x:f>
        <x:v>178218250</x:v>
      </x:c>
      <x:c r="H110" s="34" t="n">
        <x:f>G110/'Assumptions'!$B$9/3600</x:f>
        <x:v>6.111736968449931</x:v>
      </x:c>
      <x:c r="I110" s="34" t="n">
        <x:f>G110/'Assumptions'!$B$5/3600</x:f>
        <x:v>3.667042181069959</x:v>
      </x:c>
    </x:row>
    <x:row r="111">
      <x:c r="A111" s="29" t="n">
        <x:v>110</x:v>
      </x:c>
      <x:c r="B111" s="29" t="n">
        <x:f>A111*'Assumptions'!$B$11</x:f>
        <x:v>550</x:v>
      </x:c>
      <x:c r="C111" s="33" t="n">
        <x:f>1+B111/100</x:f>
        <x:v>6.5</x:v>
      </x:c>
      <x:c r="D111" s="33" t="n">
        <x:f>IF(A111&lt;='Assumptions'!$B$10,1,1+('Assumptions'!$B$14-1)*(A111-'Assumptions'!$B$10)/(MAX($A$2:$A$201)-'Assumptions'!$B$10))</x:f>
        <x:v>1.2</x:v>
      </x:c>
      <x:c r="E111" s="29" t="n">
        <x:f>IF(A111&lt;='Assumptions'!$B$10,'Assumptions'!$B$6*A111^2*(1+'Assumptions'!$B$7*(A111/'Assumptions'!$B$10)^'Assumptions'!$B$8),$F$101*(A111/'Assumptions'!$B$10)^'Assumptions'!$B$12*D111)</x:f>
        <x:v>10541520.000000002</x:v>
      </x:c>
      <x:c r="F111" s="29" t="n">
        <x:f>ROUND(E111/'Assumptions'!$B$13,0)*'Assumptions'!$B$13</x:f>
        <x:v>10500000</x:v>
      </x:c>
      <x:c r="G111" s="29" t="n">
        <x:f>SUM($F$2:F111)</x:f>
        <x:v>188718250</x:v>
      </x:c>
      <x:c r="H111" s="34" t="n">
        <x:f>G111/'Assumptions'!$B$9/3600</x:f>
        <x:v>6.47181927297668</x:v>
      </x:c>
      <x:c r="I111" s="34" t="n">
        <x:f>G111/'Assumptions'!$B$5/3600</x:f>
        <x:v>3.8830915637860084</x:v>
      </x:c>
    </x:row>
    <x:row r="112">
      <x:c r="A112" s="29" t="n">
        <x:v>111</x:v>
      </x:c>
      <x:c r="B112" s="29" t="n">
        <x:f>A112*'Assumptions'!$B$11</x:f>
        <x:v>555</x:v>
      </x:c>
      <x:c r="C112" s="33" t="n">
        <x:f>1+B112/100</x:f>
        <x:v>6.55</x:v>
      </x:c>
      <x:c r="D112" s="33" t="n">
        <x:f>IF(A112&lt;='Assumptions'!$B$10,1,1+('Assumptions'!$B$14-1)*(A112-'Assumptions'!$B$10)/(MAX($A$2:$A$201)-'Assumptions'!$B$10))</x:f>
        <x:v>1.22</x:v>
      </x:c>
      <x:c r="E112" s="29" t="n">
        <x:f>IF(A112&lt;='Assumptions'!$B$10,'Assumptions'!$B$6*A112^2*(1+'Assumptions'!$B$7*(A112/'Assumptions'!$B$10)^'Assumptions'!$B$8),$F$101*(A112/'Assumptions'!$B$10)^'Assumptions'!$B$12*D112)</x:f>
        <x:v>11112275.401200004</x:v>
      </x:c>
      <x:c r="F112" s="29" t="n">
        <x:f>ROUND(E112/'Assumptions'!$B$13,0)*'Assumptions'!$B$13</x:f>
        <x:v>11100000</x:v>
      </x:c>
      <x:c r="G112" s="29" t="n">
        <x:f>SUM($F$2:F112)</x:f>
        <x:v>199818250</x:v>
      </x:c>
      <x:c r="H112" s="34" t="n">
        <x:f>G112/'Assumptions'!$B$9/3600</x:f>
        <x:v>6.852477709190672</x:v>
      </x:c>
      <x:c r="I112" s="34" t="n">
        <x:f>G112/'Assumptions'!$B$5/3600</x:f>
        <x:v>4.111486625514403</x:v>
      </x:c>
    </x:row>
    <x:row r="113">
      <x:c r="A113" s="29" t="n">
        <x:v>112</x:v>
      </x:c>
      <x:c r="B113" s="29" t="n">
        <x:f>A113*'Assumptions'!$B$11</x:f>
        <x:v>560</x:v>
      </x:c>
      <x:c r="C113" s="33" t="n">
        <x:f>1+B113/100</x:f>
        <x:v>6.6</x:v>
      </x:c>
      <x:c r="D113" s="33" t="n">
        <x:f>IF(A113&lt;='Assumptions'!$B$10,1,1+('Assumptions'!$B$14-1)*(A113-'Assumptions'!$B$10)/(MAX($A$2:$A$201)-'Assumptions'!$B$10))</x:f>
        <x:v>1.24</x:v>
      </x:c>
      <x:c r="E113" s="29" t="n">
        <x:f>IF(A113&lt;='Assumptions'!$B$10,'Assumptions'!$B$6*A113^2*(1+'Assumptions'!$B$7*(A113/'Assumptions'!$B$10)^'Assumptions'!$B$8),$F$101*(A113/'Assumptions'!$B$10)^'Assumptions'!$B$12*D113)</x:f>
        <x:v>11706984.038400006</x:v>
      </x:c>
      <x:c r="F113" s="29" t="n">
        <x:f>ROUND(E113/'Assumptions'!$B$13,0)*'Assumptions'!$B$13</x:f>
        <x:v>11700000</x:v>
      </x:c>
      <x:c r="G113" s="29" t="n">
        <x:f>SUM($F$2:F113)</x:f>
        <x:v>211518250</x:v>
      </x:c>
      <x:c r="H113" s="34" t="n">
        <x:f>G113/'Assumptions'!$B$9/3600</x:f>
        <x:v>7.253712277091907</x:v>
      </x:c>
      <x:c r="I113" s="34" t="n">
        <x:f>G113/'Assumptions'!$B$5/3600</x:f>
        <x:v>4.352227366255144</x:v>
      </x:c>
    </x:row>
    <x:row r="114">
      <x:c r="A114" s="29" t="n">
        <x:v>113</x:v>
      </x:c>
      <x:c r="B114" s="29" t="n">
        <x:f>A114*'Assumptions'!$B$11</x:f>
        <x:v>565</x:v>
      </x:c>
      <x:c r="C114" s="33" t="n">
        <x:f>1+B114/100</x:f>
        <x:v>6.65</x:v>
      </x:c>
      <x:c r="D114" s="33" t="n">
        <x:f>IF(A114&lt;='Assumptions'!$B$10,1,1+('Assumptions'!$B$14-1)*(A114-'Assumptions'!$B$10)/(MAX($A$2:$A$201)-'Assumptions'!$B$10))</x:f>
        <x:v>1.26</x:v>
      </x:c>
      <x:c r="E114" s="29" t="n">
        <x:f>IF(A114&lt;='Assumptions'!$B$10,'Assumptions'!$B$6*A114^2*(1+'Assumptions'!$B$7*(A114/'Assumptions'!$B$10)^'Assumptions'!$B$8),$F$101*(A114/'Assumptions'!$B$10)^'Assumptions'!$B$12*D114)</x:f>
        <x:v>12326380.491599996</x:v>
      </x:c>
      <x:c r="F114" s="29" t="n">
        <x:f>ROUND(E114/'Assumptions'!$B$13,0)*'Assumptions'!$B$13</x:f>
        <x:v>12300000</x:v>
      </x:c>
      <x:c r="G114" s="29" t="n">
        <x:f>SUM($F$2:F114)</x:f>
        <x:v>223818250</x:v>
      </x:c>
      <x:c r="H114" s="34" t="n">
        <x:f>G114/'Assumptions'!$B$9/3600</x:f>
        <x:v>7.675522976680384</x:v>
      </x:c>
      <x:c r="I114" s="34" t="n">
        <x:f>G114/'Assumptions'!$B$5/3600</x:f>
        <x:v>4.605313786008231</x:v>
      </x:c>
    </x:row>
    <x:row r="115">
      <x:c r="A115" s="29" t="n">
        <x:v>114</x:v>
      </x:c>
      <x:c r="B115" s="29" t="n">
        <x:f>A115*'Assumptions'!$B$11</x:f>
        <x:v>570</x:v>
      </x:c>
      <x:c r="C115" s="33" t="n">
        <x:f>1+B115/100</x:f>
        <x:v>6.7</x:v>
      </x:c>
      <x:c r="D115" s="33" t="n">
        <x:f>IF(A115&lt;='Assumptions'!$B$10,1,1+('Assumptions'!$B$14-1)*(A115-'Assumptions'!$B$10)/(MAX($A$2:$A$201)-'Assumptions'!$B$10))</x:f>
        <x:v>1.28</x:v>
      </x:c>
      <x:c r="E115" s="29" t="n">
        <x:f>IF(A115&lt;='Assumptions'!$B$10,'Assumptions'!$B$6*A115^2*(1+'Assumptions'!$B$7*(A115/'Assumptions'!$B$10)^'Assumptions'!$B$8),$F$101*(A115/'Assumptions'!$B$10)^'Assumptions'!$B$12*D115)</x:f>
        <x:v>12971214.028799996</x:v>
      </x:c>
      <x:c r="F115" s="29" t="n">
        <x:f>ROUND(E115/'Assumptions'!$B$13,0)*'Assumptions'!$B$13</x:f>
        <x:v>13000000</x:v>
      </x:c>
      <x:c r="G115" s="29" t="n">
        <x:f>SUM($F$2:F115)</x:f>
        <x:v>236818250</x:v>
      </x:c>
      <x:c r="H115" s="34" t="n">
        <x:f>G115/'Assumptions'!$B$9/3600</x:f>
        <x:v>8.121339163237312</x:v>
      </x:c>
      <x:c r="I115" s="34" t="n">
        <x:f>G115/'Assumptions'!$B$5/3600</x:f>
        <x:v>4.872803497942386</x:v>
      </x:c>
    </x:row>
    <x:row r="116">
      <x:c r="A116" s="29" t="n">
        <x:v>115</x:v>
      </x:c>
      <x:c r="B116" s="29" t="n">
        <x:f>A116*'Assumptions'!$B$11</x:f>
        <x:v>575</x:v>
      </x:c>
      <x:c r="C116" s="33" t="n">
        <x:f>1+B116/100</x:f>
        <x:v>6.75</x:v>
      </x:c>
      <x:c r="D116" s="33" t="n">
        <x:f>IF(A116&lt;='Assumptions'!$B$10,1,1+('Assumptions'!$B$14-1)*(A116-'Assumptions'!$B$10)/(MAX($A$2:$A$201)-'Assumptions'!$B$10))</x:f>
        <x:v>1.3</x:v>
      </x:c>
      <x:c r="E116" s="29" t="n">
        <x:f>IF(A116&lt;='Assumptions'!$B$10,'Assumptions'!$B$6*A116^2*(1+'Assumptions'!$B$7*(A116/'Assumptions'!$B$10)^'Assumptions'!$B$8),$F$101*(A116/'Assumptions'!$B$10)^'Assumptions'!$B$12*D116)</x:f>
        <x:v>13642248.749999996</x:v>
      </x:c>
      <x:c r="F116" s="29" t="n">
        <x:f>ROUND(E116/'Assumptions'!$B$13,0)*'Assumptions'!$B$13</x:f>
        <x:v>13600000</x:v>
      </x:c>
      <x:c r="G116" s="29" t="n">
        <x:f>SUM($F$2:F116)</x:f>
        <x:v>250418250</x:v>
      </x:c>
      <x:c r="H116" s="34" t="n">
        <x:f>G116/'Assumptions'!$B$9/3600</x:f>
        <x:v>8.587731481481482</x:v>
      </x:c>
      <x:c r="I116" s="34" t="n">
        <x:f>G116/'Assumptions'!$B$5/3600</x:f>
        <x:v>5.152638888888889</x:v>
      </x:c>
    </x:row>
    <x:row r="117">
      <x:c r="A117" s="29" t="n">
        <x:v>116</x:v>
      </x:c>
      <x:c r="B117" s="29" t="n">
        <x:f>A117*'Assumptions'!$B$11</x:f>
        <x:v>580</x:v>
      </x:c>
      <x:c r="C117" s="33" t="n">
        <x:f>1+B117/100</x:f>
        <x:v>6.8</x:v>
      </x:c>
      <x:c r="D117" s="33" t="n">
        <x:f>IF(A117&lt;='Assumptions'!$B$10,1,1+('Assumptions'!$B$14-1)*(A117-'Assumptions'!$B$10)/(MAX($A$2:$A$201)-'Assumptions'!$B$10))</x:f>
        <x:v>1.32</x:v>
      </x:c>
      <x:c r="E117" s="29" t="n">
        <x:f>IF(A117&lt;='Assumptions'!$B$10,'Assumptions'!$B$6*A117^2*(1+'Assumptions'!$B$7*(A117/'Assumptions'!$B$10)^'Assumptions'!$B$8),$F$101*(A117/'Assumptions'!$B$10)^'Assumptions'!$B$12*D117)</x:f>
        <x:v>14340263.731199997</x:v>
      </x:c>
      <x:c r="F117" s="29" t="n">
        <x:f>ROUND(E117/'Assumptions'!$B$13,0)*'Assumptions'!$B$13</x:f>
        <x:v>14300000</x:v>
      </x:c>
      <x:c r="G117" s="29" t="n">
        <x:f>SUM($F$2:F117)</x:f>
        <x:v>264718250</x:v>
      </x:c>
      <x:c r="H117" s="34" t="n">
        <x:f>G117/'Assumptions'!$B$9/3600</x:f>
        <x:v>9.078129286694102</x:v>
      </x:c>
      <x:c r="I117" s="34" t="n">
        <x:f>G117/'Assumptions'!$B$5/3600</x:f>
        <x:v>5.446877572016461</x:v>
      </x:c>
    </x:row>
    <x:row r="118">
      <x:c r="A118" s="29" t="n">
        <x:v>117</x:v>
      </x:c>
      <x:c r="B118" s="29" t="n">
        <x:f>A118*'Assumptions'!$B$11</x:f>
        <x:v>585</x:v>
      </x:c>
      <x:c r="C118" s="33" t="n">
        <x:f>1+B118/100</x:f>
        <x:v>6.85</x:v>
      </x:c>
      <x:c r="D118" s="33" t="n">
        <x:f>IF(A118&lt;='Assumptions'!$B$10,1,1+('Assumptions'!$B$14-1)*(A118-'Assumptions'!$B$10)/(MAX($A$2:$A$201)-'Assumptions'!$B$10))</x:f>
        <x:v>1.34</x:v>
      </x:c>
      <x:c r="E118" s="29" t="n">
        <x:f>IF(A118&lt;='Assumptions'!$B$10,'Assumptions'!$B$6*A118^2*(1+'Assumptions'!$B$7*(A118/'Assumptions'!$B$10)^'Assumptions'!$B$8),$F$101*(A118/'Assumptions'!$B$10)^'Assumptions'!$B$12*D118)</x:f>
        <x:v>15066053.168399995</x:v>
      </x:c>
      <x:c r="F118" s="29" t="n">
        <x:f>ROUND(E118/'Assumptions'!$B$13,0)*'Assumptions'!$B$13</x:f>
        <x:v>15100000</x:v>
      </x:c>
      <x:c r="G118" s="29" t="n">
        <x:f>SUM($F$2:F118)</x:f>
        <x:v>279818250</x:v>
      </x:c>
      <x:c r="H118" s="34" t="n">
        <x:f>G118/'Assumptions'!$B$9/3600</x:f>
        <x:v>9.595961934156378</x:v>
      </x:c>
      <x:c r="I118" s="34" t="n">
        <x:f>G118/'Assumptions'!$B$5/3600</x:f>
        <x:v>5.757577160493827</x:v>
      </x:c>
    </x:row>
    <x:row r="119">
      <x:c r="A119" s="29" t="n">
        <x:v>118</x:v>
      </x:c>
      <x:c r="B119" s="29" t="n">
        <x:f>A119*'Assumptions'!$B$11</x:f>
        <x:v>590</x:v>
      </x:c>
      <x:c r="C119" s="33" t="n">
        <x:f>1+B119/100</x:f>
        <x:v>6.9</x:v>
      </x:c>
      <x:c r="D119" s="33" t="n">
        <x:f>IF(A119&lt;='Assumptions'!$B$10,1,1+('Assumptions'!$B$14-1)*(A119-'Assumptions'!$B$10)/(MAX($A$2:$A$201)-'Assumptions'!$B$10))</x:f>
        <x:v>1.3599999999999999</x:v>
      </x:c>
      <x:c r="E119" s="29" t="n">
        <x:f>IF(A119&lt;='Assumptions'!$B$10,'Assumptions'!$B$6*A119^2*(1+'Assumptions'!$B$7*(A119/'Assumptions'!$B$10)^'Assumptions'!$B$8),$F$101*(A119/'Assumptions'!$B$10)^'Assumptions'!$B$12*D119)</x:f>
        <x:v>15820426.521599995</x:v>
      </x:c>
      <x:c r="F119" s="29" t="n">
        <x:f>ROUND(E119/'Assumptions'!$B$13,0)*'Assumptions'!$B$13</x:f>
        <x:v>15800000</x:v>
      </x:c>
      <x:c r="G119" s="29" t="n">
        <x:f>SUM($F$2:F119)</x:f>
        <x:v>295618250</x:v>
      </x:c>
      <x:c r="H119" s="34" t="n">
        <x:f>G119/'Assumptions'!$B$9/3600</x:f>
        <x:v>10.137800068587106</x:v>
      </x:c>
      <x:c r="I119" s="34" t="n">
        <x:f>G119/'Assumptions'!$B$5/3600</x:f>
        <x:v>6.082680041152264</x:v>
      </x:c>
    </x:row>
    <x:row r="120">
      <x:c r="A120" s="29" t="n">
        <x:v>119</x:v>
      </x:c>
      <x:c r="B120" s="29" t="n">
        <x:f>A120*'Assumptions'!$B$11</x:f>
        <x:v>595</x:v>
      </x:c>
      <x:c r="C120" s="33" t="n">
        <x:f>1+B120/100</x:f>
        <x:v>6.95</x:v>
      </x:c>
      <x:c r="D120" s="33" t="n">
        <x:f>IF(A120&lt;='Assumptions'!$B$10,1,1+('Assumptions'!$B$14-1)*(A120-'Assumptions'!$B$10)/(MAX($A$2:$A$201)-'Assumptions'!$B$10))</x:f>
        <x:v>1.38</x:v>
      </x:c>
      <x:c r="E120" s="29" t="n">
        <x:f>IF(A120&lt;='Assumptions'!$B$10,'Assumptions'!$B$6*A120^2*(1+'Assumptions'!$B$7*(A120/'Assumptions'!$B$10)^'Assumptions'!$B$8),$F$101*(A120/'Assumptions'!$B$10)^'Assumptions'!$B$12*D120)</x:f>
        <x:v>16604208.658799998</x:v>
      </x:c>
      <x:c r="F120" s="29" t="n">
        <x:f>ROUND(E120/'Assumptions'!$B$13,0)*'Assumptions'!$B$13</x:f>
        <x:v>16600000</x:v>
      </x:c>
      <x:c r="G120" s="29" t="n">
        <x:f>SUM($F$2:F120)</x:f>
        <x:v>312218250</x:v>
      </x:c>
      <x:c r="H120" s="34" t="n">
        <x:f>G120/'Assumptions'!$B$9/3600</x:f>
        <x:v>10.70707304526749</x:v>
      </x:c>
      <x:c r="I120" s="34" t="n">
        <x:f>G120/'Assumptions'!$B$5/3600</x:f>
        <x:v>6.424243827160494</x:v>
      </x:c>
    </x:row>
    <x:row r="121">
      <x:c r="A121" s="29" t="n">
        <x:v>120</x:v>
      </x:c>
      <x:c r="B121" s="29" t="n">
        <x:f>A121*'Assumptions'!$B$11</x:f>
        <x:v>600</x:v>
      </x:c>
      <x:c r="C121" s="33" t="n">
        <x:f>1+B121/100</x:f>
        <x:v>7</x:v>
      </x:c>
      <x:c r="D121" s="33" t="n">
        <x:f>IF(A121&lt;='Assumptions'!$B$10,1,1+('Assumptions'!$B$14-1)*(A121-'Assumptions'!$B$10)/(MAX($A$2:$A$201)-'Assumptions'!$B$10))</x:f>
        <x:v>1.4</x:v>
      </x:c>
      <x:c r="E121" s="29" t="n">
        <x:f>IF(A121&lt;='Assumptions'!$B$10,'Assumptions'!$B$6*A121^2*(1+'Assumptions'!$B$7*(A121/'Assumptions'!$B$10)^'Assumptions'!$B$8),$F$101*(A121/'Assumptions'!$B$10)^'Assumptions'!$B$12*D121)</x:f>
        <x:v>17418240</x:v>
      </x:c>
      <x:c r="F121" s="29" t="n">
        <x:f>ROUND(E121/'Assumptions'!$B$13,0)*'Assumptions'!$B$13</x:f>
        <x:v>17400000</x:v>
      </x:c>
      <x:c r="G121" s="29" t="n">
        <x:f>SUM($F$2:F121)</x:f>
        <x:v>329618250</x:v>
      </x:c>
      <x:c r="H121" s="34" t="n">
        <x:f>G121/'Assumptions'!$B$9/3600</x:f>
        <x:v>11.303780864197531</x:v>
      </x:c>
      <x:c r="I121" s="34" t="n">
        <x:f>G121/'Assumptions'!$B$5/3600</x:f>
        <x:v>6.782268518518519</x:v>
      </x:c>
    </x:row>
    <x:row r="122">
      <x:c r="A122" s="29" t="n">
        <x:v>121</x:v>
      </x:c>
      <x:c r="B122" s="29" t="n">
        <x:f>A122*'Assumptions'!$B$11</x:f>
        <x:v>605</x:v>
      </x:c>
      <x:c r="C122" s="33" t="n">
        <x:f>1+B122/100</x:f>
        <x:v>7.05</x:v>
      </x:c>
      <x:c r="D122" s="33" t="n">
        <x:f>IF(A122&lt;='Assumptions'!$B$10,1,1+('Assumptions'!$B$14-1)*(A122-'Assumptions'!$B$10)/(MAX($A$2:$A$201)-'Assumptions'!$B$10))</x:f>
        <x:v>1.42</x:v>
      </x:c>
      <x:c r="E122" s="29" t="n">
        <x:f>IF(A122&lt;='Assumptions'!$B$10,'Assumptions'!$B$6*A122^2*(1+'Assumptions'!$B$7*(A122/'Assumptions'!$B$10)^'Assumptions'!$B$8),$F$101*(A122/'Assumptions'!$B$10)^'Assumptions'!$B$12*D122)</x:f>
        <x:v>18263376.661199998</x:v>
      </x:c>
      <x:c r="F122" s="29" t="n">
        <x:f>ROUND(E122/'Assumptions'!$B$13,0)*'Assumptions'!$B$13</x:f>
        <x:v>18300000</x:v>
      </x:c>
      <x:c r="G122" s="29" t="n">
        <x:f>SUM($F$2:F122)</x:f>
        <x:v>347918250</x:v>
      </x:c>
      <x:c r="H122" s="34" t="n">
        <x:f>G122/'Assumptions'!$B$9/3600</x:f>
        <x:v>11.931352880658437</x:v>
      </x:c>
      <x:c r="I122" s="34" t="n">
        <x:f>G122/'Assumptions'!$B$5/3600</x:f>
        <x:v>7.158811728395062</x:v>
      </x:c>
    </x:row>
    <x:row r="123">
      <x:c r="A123" s="29" t="n">
        <x:v>122</x:v>
      </x:c>
      <x:c r="B123" s="29" t="n">
        <x:f>A123*'Assumptions'!$B$11</x:f>
        <x:v>610</x:v>
      </x:c>
      <x:c r="C123" s="33" t="n">
        <x:f>1+B123/100</x:f>
        <x:v>7.1</x:v>
      </x:c>
      <x:c r="D123" s="33" t="n">
        <x:f>IF(A123&lt;='Assumptions'!$B$10,1,1+('Assumptions'!$B$14-1)*(A123-'Assumptions'!$B$10)/(MAX($A$2:$A$201)-'Assumptions'!$B$10))</x:f>
        <x:v>1.44</x:v>
      </x:c>
      <x:c r="E123" s="29" t="n">
        <x:f>IF(A123&lt;='Assumptions'!$B$10,'Assumptions'!$B$6*A123^2*(1+'Assumptions'!$B$7*(A123/'Assumptions'!$B$10)^'Assumptions'!$B$8),$F$101*(A123/'Assumptions'!$B$10)^'Assumptions'!$B$12*D123)</x:f>
        <x:v>19140490.598399997</x:v>
      </x:c>
      <x:c r="F123" s="29" t="n">
        <x:f>ROUND(E123/'Assumptions'!$B$13,0)*'Assumptions'!$B$13</x:f>
        <x:v>19100000</x:v>
      </x:c>
      <x:c r="G123" s="29" t="n">
        <x:f>SUM($F$2:F123)</x:f>
        <x:v>367018250</x:v>
      </x:c>
      <x:c r="H123" s="34" t="n">
        <x:f>G123/'Assumptions'!$B$9/3600</x:f>
        <x:v>12.586359739368998</x:v>
      </x:c>
      <x:c r="I123" s="34" t="n">
        <x:f>G123/'Assumptions'!$B$5/3600</x:f>
        <x:v>7.551815843621399</x:v>
      </x:c>
    </x:row>
    <x:row r="124">
      <x:c r="A124" s="29" t="n">
        <x:v>123</x:v>
      </x:c>
      <x:c r="B124" s="29" t="n">
        <x:f>A124*'Assumptions'!$B$11</x:f>
        <x:v>615</x:v>
      </x:c>
      <x:c r="C124" s="33" t="n">
        <x:f>1+B124/100</x:f>
        <x:v>7.15</x:v>
      </x:c>
      <x:c r="D124" s="33" t="n">
        <x:f>IF(A124&lt;='Assumptions'!$B$10,1,1+('Assumptions'!$B$14-1)*(A124-'Assumptions'!$B$10)/(MAX($A$2:$A$201)-'Assumptions'!$B$10))</x:f>
        <x:v>1.46</x:v>
      </x:c>
      <x:c r="E124" s="29" t="n">
        <x:f>IF(A124&lt;='Assumptions'!$B$10,'Assumptions'!$B$6*A124^2*(1+'Assumptions'!$B$7*(A124/'Assumptions'!$B$10)^'Assumptions'!$B$8),$F$101*(A124/'Assumptions'!$B$10)^'Assumptions'!$B$12*D124)</x:f>
        <x:v>20050469.751599997</x:v>
      </x:c>
      <x:c r="F124" s="29" t="n">
        <x:f>ROUND(E124/'Assumptions'!$B$13,0)*'Assumptions'!$B$13</x:f>
        <x:v>20100000</x:v>
      </x:c>
      <x:c r="G124" s="29" t="n">
        <x:f>SUM($F$2:F124)</x:f>
        <x:v>387118250</x:v>
      </x:c>
      <x:c r="H124" s="34" t="n">
        <x:f>G124/'Assumptions'!$B$9/3600</x:f>
        <x:v>13.275660150891632</x:v>
      </x:c>
      <x:c r="I124" s="34" t="n">
        <x:f>G124/'Assumptions'!$B$5/3600</x:f>
        <x:v>7.96539609053498</x:v>
      </x:c>
    </x:row>
    <x:row r="125">
      <x:c r="A125" s="29" t="n">
        <x:v>124</x:v>
      </x:c>
      <x:c r="B125" s="29" t="n">
        <x:f>A125*'Assumptions'!$B$11</x:f>
        <x:v>620</x:v>
      </x:c>
      <x:c r="C125" s="33" t="n">
        <x:f>1+B125/100</x:f>
        <x:v>7.2</x:v>
      </x:c>
      <x:c r="D125" s="33" t="n">
        <x:f>IF(A125&lt;='Assumptions'!$B$10,1,1+('Assumptions'!$B$14-1)*(A125-'Assumptions'!$B$10)/(MAX($A$2:$A$201)-'Assumptions'!$B$10))</x:f>
        <x:v>1.48</x:v>
      </x:c>
      <x:c r="E125" s="29" t="n">
        <x:f>IF(A125&lt;='Assumptions'!$B$10,'Assumptions'!$B$6*A125^2*(1+'Assumptions'!$B$7*(A125/'Assumptions'!$B$10)^'Assumptions'!$B$8),$F$101*(A125/'Assumptions'!$B$10)^'Assumptions'!$B$12*D125)</x:f>
        <x:v>20994218.188799996</x:v>
      </x:c>
      <x:c r="F125" s="29" t="n">
        <x:f>ROUND(E125/'Assumptions'!$B$13,0)*'Assumptions'!$B$13</x:f>
        <x:v>21000000</x:v>
      </x:c>
      <x:c r="G125" s="29" t="n">
        <x:f>SUM($F$2:F125)</x:f>
        <x:v>408118250</x:v>
      </x:c>
      <x:c r="H125" s="34" t="n">
        <x:f>G125/'Assumptions'!$B$9/3600</x:f>
        <x:v>13.995824759945132</x:v>
      </x:c>
      <x:c r="I125" s="34" t="n">
        <x:f>G125/'Assumptions'!$B$5/3600</x:f>
        <x:v>8.397494855967079</x:v>
      </x:c>
    </x:row>
    <x:row r="126">
      <x:c r="A126" s="29" t="n">
        <x:v>125</x:v>
      </x:c>
      <x:c r="B126" s="29" t="n">
        <x:f>A126*'Assumptions'!$B$11</x:f>
        <x:v>625</x:v>
      </x:c>
      <x:c r="C126" s="33" t="n">
        <x:f>1+B126/100</x:f>
        <x:v>7.25</x:v>
      </x:c>
      <x:c r="D126" s="33" t="n">
        <x:f>IF(A126&lt;='Assumptions'!$B$10,1,1+('Assumptions'!$B$14-1)*(A126-'Assumptions'!$B$10)/(MAX($A$2:$A$201)-'Assumptions'!$B$10))</x:f>
        <x:v>1.5</x:v>
      </x:c>
      <x:c r="E126" s="29" t="n">
        <x:f>IF(A126&lt;='Assumptions'!$B$10,'Assumptions'!$B$6*A126^2*(1+'Assumptions'!$B$7*(A126/'Assumptions'!$B$10)^'Assumptions'!$B$8),$F$101*(A126/'Assumptions'!$B$10)^'Assumptions'!$B$12*D126)</x:f>
        <x:v>21972656.25</x:v>
      </x:c>
      <x:c r="F126" s="29" t="n">
        <x:f>ROUND(E126/'Assumptions'!$B$13,0)*'Assumptions'!$B$13</x:f>
        <x:v>22000000</x:v>
      </x:c>
      <x:c r="G126" s="29" t="n">
        <x:f>SUM($F$2:F126)</x:f>
        <x:v>430118250</x:v>
      </x:c>
      <x:c r="H126" s="34" t="n">
        <x:f>G126/'Assumptions'!$B$9/3600</x:f>
        <x:v>14.7502829218107</x:v>
      </x:c>
      <x:c r="I126" s="34" t="n">
        <x:f>G126/'Assumptions'!$B$5/3600</x:f>
        <x:v>8.85016975308642</x:v>
      </x:c>
    </x:row>
    <x:row r="127">
      <x:c r="A127" s="29" t="n">
        <x:v>126</x:v>
      </x:c>
      <x:c r="B127" s="29" t="n">
        <x:f>A127*'Assumptions'!$B$11</x:f>
        <x:v>630</x:v>
      </x:c>
      <x:c r="C127" s="33" t="n">
        <x:f>1+B127/100</x:f>
        <x:v>7.3</x:v>
      </x:c>
      <x:c r="D127" s="33" t="n">
        <x:f>IF(A127&lt;='Assumptions'!$B$10,1,1+('Assumptions'!$B$14-1)*(A127-'Assumptions'!$B$10)/(MAX($A$2:$A$201)-'Assumptions'!$B$10))</x:f>
        <x:v>1.52</x:v>
      </x:c>
      <x:c r="E127" s="29" t="n">
        <x:f>IF(A127&lt;='Assumptions'!$B$10,'Assumptions'!$B$6*A127^2*(1+'Assumptions'!$B$7*(A127/'Assumptions'!$B$10)^'Assumptions'!$B$8),$F$101*(A127/'Assumptions'!$B$10)^'Assumptions'!$B$12*D127)</x:f>
        <x:v>22986720.6912</x:v>
      </x:c>
      <x:c r="F127" s="29" t="n">
        <x:f>ROUND(E127/'Assumptions'!$B$13,0)*'Assumptions'!$B$13</x:f>
        <x:v>23000000</x:v>
      </x:c>
      <x:c r="G127" s="29" t="n">
        <x:f>SUM($F$2:F127)</x:f>
        <x:v>453118250</x:v>
      </x:c>
      <x:c r="H127" s="34" t="n">
        <x:f>G127/'Assumptions'!$B$9/3600</x:f>
        <x:v>15.53903463648834</x:v>
      </x:c>
      <x:c r="I127" s="34" t="n">
        <x:f>G127/'Assumptions'!$B$5/3600</x:f>
        <x:v>9.323420781893004</x:v>
      </x:c>
    </x:row>
    <x:row r="128">
      <x:c r="A128" s="29" t="n">
        <x:v>127</x:v>
      </x:c>
      <x:c r="B128" s="29" t="n">
        <x:f>A128*'Assumptions'!$B$11</x:f>
        <x:v>635</x:v>
      </x:c>
      <x:c r="C128" s="33" t="n">
        <x:f>1+B128/100</x:f>
        <x:v>7.35</x:v>
      </x:c>
      <x:c r="D128" s="33" t="n">
        <x:f>IF(A128&lt;='Assumptions'!$B$10,1,1+('Assumptions'!$B$14-1)*(A128-'Assumptions'!$B$10)/(MAX($A$2:$A$201)-'Assumptions'!$B$10))</x:f>
        <x:v>1.54</x:v>
      </x:c>
      <x:c r="E128" s="29" t="n">
        <x:f>IF(A128&lt;='Assumptions'!$B$10,'Assumptions'!$B$6*A128^2*(1+'Assumptions'!$B$7*(A128/'Assumptions'!$B$10)^'Assumptions'!$B$8),$F$101*(A128/'Assumptions'!$B$10)^'Assumptions'!$B$12*D128)</x:f>
        <x:v>24037364.828400005</x:v>
      </x:c>
      <x:c r="F128" s="29" t="n">
        <x:f>ROUND(E128/'Assumptions'!$B$13,0)*'Assumptions'!$B$13</x:f>
        <x:v>24000000</x:v>
      </x:c>
      <x:c r="G128" s="29" t="n">
        <x:f>SUM($F$2:F128)</x:f>
        <x:v>477118250</x:v>
      </x:c>
      <x:c r="H128" s="34" t="n">
        <x:f>G128/'Assumptions'!$B$9/3600</x:f>
        <x:v>16.362079903978053</x:v>
      </x:c>
      <x:c r="I128" s="34" t="n">
        <x:f>G128/'Assumptions'!$B$5/3600</x:f>
        <x:v>9.817247942386832</x:v>
      </x:c>
    </x:row>
    <x:row r="129">
      <x:c r="A129" s="29" t="n">
        <x:v>128</x:v>
      </x:c>
      <x:c r="B129" s="29" t="n">
        <x:f>A129*'Assumptions'!$B$11</x:f>
        <x:v>640</x:v>
      </x:c>
      <x:c r="C129" s="33" t="n">
        <x:f>1+B129/100</x:f>
        <x:v>7.4</x:v>
      </x:c>
      <x:c r="D129" s="33" t="n">
        <x:f>IF(A129&lt;='Assumptions'!$B$10,1,1+('Assumptions'!$B$14-1)*(A129-'Assumptions'!$B$10)/(MAX($A$2:$A$201)-'Assumptions'!$B$10))</x:f>
        <x:v>1.56</x:v>
      </x:c>
      <x:c r="E129" s="29" t="n">
        <x:f>IF(A129&lt;='Assumptions'!$B$10,'Assumptions'!$B$6*A129^2*(1+'Assumptions'!$B$7*(A129/'Assumptions'!$B$10)^'Assumptions'!$B$8),$F$101*(A129/'Assumptions'!$B$10)^'Assumptions'!$B$12*D129)</x:f>
        <x:v>25125558.681600004</x:v>
      </x:c>
      <x:c r="F129" s="29" t="n">
        <x:f>ROUND(E129/'Assumptions'!$B$13,0)*'Assumptions'!$B$13</x:f>
        <x:v>25100000</x:v>
      </x:c>
      <x:c r="G129" s="29" t="n">
        <x:f>SUM($F$2:F129)</x:f>
        <x:v>502218250</x:v>
      </x:c>
      <x:c r="H129" s="34" t="n">
        <x:f>G129/'Assumptions'!$B$9/3600</x:f>
        <x:v>17.222848079561043</x:v>
      </x:c>
      <x:c r="I129" s="34" t="n">
        <x:f>G129/'Assumptions'!$B$5/3600</x:f>
        <x:v>10.333708847736625</x:v>
      </x:c>
    </x:row>
    <x:row r="130">
      <x:c r="A130" s="29" t="n">
        <x:v>129</x:v>
      </x:c>
      <x:c r="B130" s="29" t="n">
        <x:f>A130*'Assumptions'!$B$11</x:f>
        <x:v>645</x:v>
      </x:c>
      <x:c r="C130" s="33" t="n">
        <x:f>1+B130/100</x:f>
        <x:v>7.45</x:v>
      </x:c>
      <x:c r="D130" s="33" t="n">
        <x:f>IF(A130&lt;='Assumptions'!$B$10,1,1+('Assumptions'!$B$14-1)*(A130-'Assumptions'!$B$10)/(MAX($A$2:$A$201)-'Assumptions'!$B$10))</x:f>
        <x:v>1.58</x:v>
      </x:c>
      <x:c r="E130" s="29" t="n">
        <x:f>IF(A130&lt;='Assumptions'!$B$10,'Assumptions'!$B$6*A130^2*(1+'Assumptions'!$B$7*(A130/'Assumptions'!$B$10)^'Assumptions'!$B$8),$F$101*(A130/'Assumptions'!$B$10)^'Assumptions'!$B$12*D130)</x:f>
        <x:v>26252289.118800007</x:v>
      </x:c>
      <x:c r="F130" s="29" t="n">
        <x:f>ROUND(E130/'Assumptions'!$B$13,0)*'Assumptions'!$B$13</x:f>
        <x:v>26300000</x:v>
      </x:c>
      <x:c r="G130" s="29" t="n">
        <x:f>SUM($F$2:F130)</x:f>
        <x:v>528518250</x:v>
      </x:c>
      <x:c r="H130" s="34" t="n">
        <x:f>G130/'Assumptions'!$B$9/3600</x:f>
        <x:v>18.12476851851852</x:v>
      </x:c>
      <x:c r="I130" s="34" t="n">
        <x:f>G130/'Assumptions'!$B$5/3600</x:f>
        <x:v>10.87486111111111</x:v>
      </x:c>
    </x:row>
    <x:row r="131">
      <x:c r="A131" s="29" t="n">
        <x:v>130</x:v>
      </x:c>
      <x:c r="B131" s="29" t="n">
        <x:f>A131*'Assumptions'!$B$11</x:f>
        <x:v>650</x:v>
      </x:c>
      <x:c r="C131" s="33" t="n">
        <x:f>1+B131/100</x:f>
        <x:v>7.5</x:v>
      </x:c>
      <x:c r="D131" s="33" t="n">
        <x:f>IF(A131&lt;='Assumptions'!$B$10,1,1+('Assumptions'!$B$14-1)*(A131-'Assumptions'!$B$10)/(MAX($A$2:$A$201)-'Assumptions'!$B$10))</x:f>
        <x:v>1.6</x:v>
      </x:c>
      <x:c r="E131" s="29" t="n">
        <x:f>IF(A131&lt;='Assumptions'!$B$10,'Assumptions'!$B$6*A131^2*(1+'Assumptions'!$B$7*(A131/'Assumptions'!$B$10)^'Assumptions'!$B$8),$F$101*(A131/'Assumptions'!$B$10)^'Assumptions'!$B$12*D131)</x:f>
        <x:v>27418560.000000007</x:v>
      </x:c>
      <x:c r="F131" s="29" t="n">
        <x:f>ROUND(E131/'Assumptions'!$B$13,0)*'Assumptions'!$B$13</x:f>
        <x:v>27400000</x:v>
      </x:c>
      <x:c r="G131" s="29" t="n">
        <x:f>SUM($F$2:F131)</x:f>
        <x:v>555918250</x:v>
      </x:c>
      <x:c r="H131" s="34" t="n">
        <x:f>G131/'Assumptions'!$B$9/3600</x:f>
        <x:v>19.064411865569273</x:v>
      </x:c>
      <x:c r="I131" s="34" t="n">
        <x:f>G131/'Assumptions'!$B$5/3600</x:f>
        <x:v>11.438647119341564</x:v>
      </x:c>
    </x:row>
    <x:row r="132">
      <x:c r="A132" s="29" t="n">
        <x:v>131</x:v>
      </x:c>
      <x:c r="B132" s="29" t="n">
        <x:f>A132*'Assumptions'!$B$11</x:f>
        <x:v>655</x:v>
      </x:c>
      <x:c r="C132" s="33" t="n">
        <x:f>1+B132/100</x:f>
        <x:v>7.55</x:v>
      </x:c>
      <x:c r="D132" s="33" t="n">
        <x:f>IF(A132&lt;='Assumptions'!$B$10,1,1+('Assumptions'!$B$14-1)*(A132-'Assumptions'!$B$10)/(MAX($A$2:$A$201)-'Assumptions'!$B$10))</x:f>
        <x:v>1.62</x:v>
      </x:c>
      <x:c r="E132" s="29" t="n">
        <x:f>IF(A132&lt;='Assumptions'!$B$10,'Assumptions'!$B$6*A132^2*(1+'Assumptions'!$B$7*(A132/'Assumptions'!$B$10)^'Assumptions'!$B$8),$F$101*(A132/'Assumptions'!$B$10)^'Assumptions'!$B$12*D132)</x:f>
        <x:v>28625392.32120001</x:v>
      </x:c>
      <x:c r="F132" s="29" t="n">
        <x:f>ROUND(E132/'Assumptions'!$B$13,0)*'Assumptions'!$B$13</x:f>
        <x:v>28600000</x:v>
      </x:c>
      <x:c r="G132" s="29" t="n">
        <x:f>SUM($F$2:F132)</x:f>
        <x:v>584518250</x:v>
      </x:c>
      <x:c r="H132" s="34" t="n">
        <x:f>G132/'Assumptions'!$B$9/3600</x:f>
        <x:v>20.045207475994516</x:v>
      </x:c>
      <x:c r="I132" s="34" t="n">
        <x:f>G132/'Assumptions'!$B$5/3600</x:f>
        <x:v>12.027124485596707</x:v>
      </x:c>
    </x:row>
    <x:row r="133">
      <x:c r="A133" s="29" t="n">
        <x:v>132</x:v>
      </x:c>
      <x:c r="B133" s="29" t="n">
        <x:f>A133*'Assumptions'!$B$11</x:f>
        <x:v>660</x:v>
      </x:c>
      <x:c r="C133" s="33" t="n">
        <x:f>1+B133/100</x:f>
        <x:v>7.6</x:v>
      </x:c>
      <x:c r="D133" s="33" t="n">
        <x:f>IF(A133&lt;='Assumptions'!$B$10,1,1+('Assumptions'!$B$14-1)*(A133-'Assumptions'!$B$10)/(MAX($A$2:$A$201)-'Assumptions'!$B$10))</x:f>
        <x:v>1.6400000000000001</x:v>
      </x:c>
      <x:c r="E133" s="29" t="n">
        <x:f>IF(A133&lt;='Assumptions'!$B$10,'Assumptions'!$B$6*A133^2*(1+'Assumptions'!$B$7*(A133/'Assumptions'!$B$10)^'Assumptions'!$B$8),$F$101*(A133/'Assumptions'!$B$10)^'Assumptions'!$B$12*D133)</x:f>
        <x:v>29873824.358400006</x:v>
      </x:c>
      <x:c r="F133" s="29" t="n">
        <x:f>ROUND(E133/'Assumptions'!$B$13,0)*'Assumptions'!$B$13</x:f>
        <x:v>29900000</x:v>
      </x:c>
      <x:c r="G133" s="29" t="n">
        <x:f>SUM($F$2:F133)</x:f>
        <x:v>614418250</x:v>
      </x:c>
      <x:c r="H133" s="34" t="n">
        <x:f>G133/'Assumptions'!$B$9/3600</x:f>
        <x:v>21.070584705075444</x:v>
      </x:c>
      <x:c r="I133" s="34" t="n">
        <x:f>G133/'Assumptions'!$B$5/3600</x:f>
        <x:v>12.642350823045268</x:v>
      </x:c>
    </x:row>
    <x:row r="134">
      <x:c r="A134" s="29" t="n">
        <x:v>133</x:v>
      </x:c>
      <x:c r="B134" s="29" t="n">
        <x:f>A134*'Assumptions'!$B$11</x:f>
        <x:v>665</x:v>
      </x:c>
      <x:c r="C134" s="33" t="n">
        <x:f>1+B134/100</x:f>
        <x:v>7.65</x:v>
      </x:c>
      <x:c r="D134" s="33" t="n">
        <x:f>IF(A134&lt;='Assumptions'!$B$10,1,1+('Assumptions'!$B$14-1)*(A134-'Assumptions'!$B$10)/(MAX($A$2:$A$201)-'Assumptions'!$B$10))</x:f>
        <x:v>1.6600000000000001</x:v>
      </x:c>
      <x:c r="E134" s="29" t="n">
        <x:f>IF(A134&lt;='Assumptions'!$B$10,'Assumptions'!$B$6*A134^2*(1+'Assumptions'!$B$7*(A134/'Assumptions'!$B$10)^'Assumptions'!$B$8),$F$101*(A134/'Assumptions'!$B$10)^'Assumptions'!$B$12*D134)</x:f>
        <x:v>31164911.81160001</x:v>
      </x:c>
      <x:c r="F134" s="29" t="n">
        <x:f>ROUND(E134/'Assumptions'!$B$13,0)*'Assumptions'!$B$13</x:f>
        <x:v>31200000</x:v>
      </x:c>
      <x:c r="G134" s="29" t="n">
        <x:f>SUM($F$2:F134)</x:f>
        <x:v>645618250</x:v>
      </x:c>
      <x:c r="H134" s="34" t="n">
        <x:f>G134/'Assumptions'!$B$9/3600</x:f>
        <x:v>22.14054355281207</x:v>
      </x:c>
      <x:c r="I134" s="34" t="n">
        <x:f>G134/'Assumptions'!$B$5/3600</x:f>
        <x:v>13.284326131687243</x:v>
      </x:c>
    </x:row>
    <x:row r="135">
      <x:c r="A135" s="29" t="n">
        <x:v>134</x:v>
      </x:c>
      <x:c r="B135" s="29" t="n">
        <x:f>A135*'Assumptions'!$B$11</x:f>
        <x:v>670</x:v>
      </x:c>
      <x:c r="C135" s="33" t="n">
        <x:f>1+B135/100</x:f>
        <x:v>7.7</x:v>
      </x:c>
      <x:c r="D135" s="33" t="n">
        <x:f>IF(A135&lt;='Assumptions'!$B$10,1,1+('Assumptions'!$B$14-1)*(A135-'Assumptions'!$B$10)/(MAX($A$2:$A$201)-'Assumptions'!$B$10))</x:f>
        <x:v>1.6800000000000002</x:v>
      </x:c>
      <x:c r="E135" s="29" t="n">
        <x:f>IF(A135&lt;='Assumptions'!$B$10,'Assumptions'!$B$6*A135^2*(1+'Assumptions'!$B$7*(A135/'Assumptions'!$B$10)^'Assumptions'!$B$8),$F$101*(A135/'Assumptions'!$B$10)^'Assumptions'!$B$12*D135)</x:f>
        <x:v>32499727.94880001</x:v>
      </x:c>
      <x:c r="F135" s="29" t="n">
        <x:f>ROUND(E135/'Assumptions'!$B$13,0)*'Assumptions'!$B$13</x:f>
        <x:v>32500000</x:v>
      </x:c>
      <x:c r="G135" s="29" t="n">
        <x:f>SUM($F$2:F135)</x:f>
        <x:v>678118250</x:v>
      </x:c>
      <x:c r="H135" s="34" t="n">
        <x:f>G135/'Assumptions'!$B$9/3600</x:f>
        <x:v>23.25508401920439</x:v>
      </x:c>
      <x:c r="I135" s="34" t="n">
        <x:f>G135/'Assumptions'!$B$5/3600</x:f>
        <x:v>13.953050411522634</x:v>
      </x:c>
    </x:row>
    <x:row r="136">
      <x:c r="A136" s="29" t="n">
        <x:v>135</x:v>
      </x:c>
      <x:c r="B136" s="29" t="n">
        <x:f>A136*'Assumptions'!$B$11</x:f>
        <x:v>675</x:v>
      </x:c>
      <x:c r="C136" s="33" t="n">
        <x:f>1+B136/100</x:f>
        <x:v>7.75</x:v>
      </x:c>
      <x:c r="D136" s="33" t="n">
        <x:f>IF(A136&lt;='Assumptions'!$B$10,1,1+('Assumptions'!$B$14-1)*(A136-'Assumptions'!$B$10)/(MAX($A$2:$A$201)-'Assumptions'!$B$10))</x:f>
        <x:v>1.7</x:v>
      </x:c>
      <x:c r="E136" s="29" t="n">
        <x:f>IF(A136&lt;='Assumptions'!$B$10,'Assumptions'!$B$6*A136^2*(1+'Assumptions'!$B$7*(A136/'Assumptions'!$B$10)^'Assumptions'!$B$8),$F$101*(A136/'Assumptions'!$B$10)^'Assumptions'!$B$12*D136)</x:f>
        <x:v>33879363.750000015</x:v>
      </x:c>
      <x:c r="F136" s="29" t="n">
        <x:f>ROUND(E136/'Assumptions'!$B$13,0)*'Assumptions'!$B$13</x:f>
        <x:v>33900000</x:v>
      </x:c>
      <x:c r="G136" s="29" t="n">
        <x:f>SUM($F$2:F136)</x:f>
        <x:v>712018250</x:v>
      </x:c>
      <x:c r="H136" s="34" t="n">
        <x:f>G136/'Assumptions'!$B$9/3600</x:f>
        <x:v>24.417635459533606</x:v>
      </x:c>
      <x:c r="I136" s="34" t="n">
        <x:f>G136/'Assumptions'!$B$5/3600</x:f>
        <x:v>14.650581275720164</x:v>
      </x:c>
    </x:row>
    <x:row r="137">
      <x:c r="A137" s="29" t="n">
        <x:v>136</x:v>
      </x:c>
      <x:c r="B137" s="29" t="n">
        <x:f>A137*'Assumptions'!$B$11</x:f>
        <x:v>680</x:v>
      </x:c>
      <x:c r="C137" s="33" t="n">
        <x:f>1+B137/100</x:f>
        <x:v>7.8</x:v>
      </x:c>
      <x:c r="D137" s="33" t="n">
        <x:f>IF(A137&lt;='Assumptions'!$B$10,1,1+('Assumptions'!$B$14-1)*(A137-'Assumptions'!$B$10)/(MAX($A$2:$A$201)-'Assumptions'!$B$10))</x:f>
        <x:v>1.72</x:v>
      </x:c>
      <x:c r="E137" s="29" t="n">
        <x:f>IF(A137&lt;='Assumptions'!$B$10,'Assumptions'!$B$6*A137^2*(1+'Assumptions'!$B$7*(A137/'Assumptions'!$B$10)^'Assumptions'!$B$8),$F$101*(A137/'Assumptions'!$B$10)^'Assumptions'!$B$12*D137)</x:f>
        <x:v>35304928.05120002</x:v>
      </x:c>
      <x:c r="F137" s="29" t="n">
        <x:f>ROUND(E137/'Assumptions'!$B$13,0)*'Assumptions'!$B$13</x:f>
        <x:v>35300000</x:v>
      </x:c>
      <x:c r="G137" s="29" t="n">
        <x:f>SUM($F$2:F137)</x:f>
        <x:v>747318250</x:v>
      </x:c>
      <x:c r="H137" s="34" t="n">
        <x:f>G137/'Assumptions'!$B$9/3600</x:f>
        <x:v>25.628197873799728</x:v>
      </x:c>
      <x:c r="I137" s="34" t="n">
        <x:f>G137/'Assumptions'!$B$5/3600</x:f>
        <x:v>15.376918724279836</x:v>
      </x:c>
    </x:row>
    <x:row r="138">
      <x:c r="A138" s="29" t="n">
        <x:v>137</x:v>
      </x:c>
      <x:c r="B138" s="29" t="n">
        <x:f>A138*'Assumptions'!$B$11</x:f>
        <x:v>685</x:v>
      </x:c>
      <x:c r="C138" s="33" t="n">
        <x:f>1+B138/100</x:f>
        <x:v>7.85</x:v>
      </x:c>
      <x:c r="D138" s="33" t="n">
        <x:f>IF(A138&lt;='Assumptions'!$B$10,1,1+('Assumptions'!$B$14-1)*(A138-'Assumptions'!$B$10)/(MAX($A$2:$A$201)-'Assumptions'!$B$10))</x:f>
        <x:v>1.74</x:v>
      </x:c>
      <x:c r="E138" s="29" t="n">
        <x:f>IF(A138&lt;='Assumptions'!$B$10,'Assumptions'!$B$6*A138^2*(1+'Assumptions'!$B$7*(A138/'Assumptions'!$B$10)^'Assumptions'!$B$8),$F$101*(A138/'Assumptions'!$B$10)^'Assumptions'!$B$12*D138)</x:f>
        <x:v>36777547.688400015</x:v>
      </x:c>
      <x:c r="F138" s="29" t="n">
        <x:f>ROUND(E138/'Assumptions'!$B$13,0)*'Assumptions'!$B$13</x:f>
        <x:v>36800000</x:v>
      </x:c>
      <x:c r="G138" s="29" t="n">
        <x:f>SUM($F$2:F138)</x:f>
        <x:v>784118250</x:v>
      </x:c>
      <x:c r="H138" s="34" t="n">
        <x:f>G138/'Assumptions'!$B$9/3600</x:f>
        <x:v>26.89020061728395</x:v>
      </x:c>
      <x:c r="I138" s="34" t="n">
        <x:f>G138/'Assumptions'!$B$5/3600</x:f>
        <x:v>16.134120370370372</x:v>
      </x:c>
    </x:row>
    <x:row r="139">
      <x:c r="A139" s="29" t="n">
        <x:v>138</x:v>
      </x:c>
      <x:c r="B139" s="29" t="n">
        <x:f>A139*'Assumptions'!$B$11</x:f>
        <x:v>690</x:v>
      </x:c>
      <x:c r="C139" s="33" t="n">
        <x:f>1+B139/100</x:f>
        <x:v>7.9</x:v>
      </x:c>
      <x:c r="D139" s="33" t="n">
        <x:f>IF(A139&lt;='Assumptions'!$B$10,1,1+('Assumptions'!$B$14-1)*(A139-'Assumptions'!$B$10)/(MAX($A$2:$A$201)-'Assumptions'!$B$10))</x:f>
        <x:v>1.76</x:v>
      </x:c>
      <x:c r="E139" s="29" t="n">
        <x:f>IF(A139&lt;='Assumptions'!$B$10,'Assumptions'!$B$6*A139^2*(1+'Assumptions'!$B$7*(A139/'Assumptions'!$B$10)^'Assumptions'!$B$8),$F$101*(A139/'Assumptions'!$B$10)^'Assumptions'!$B$12*D139)</x:f>
        <x:v>38298367.64159999</x:v>
      </x:c>
      <x:c r="F139" s="29" t="n">
        <x:f>ROUND(E139/'Assumptions'!$B$13,0)*'Assumptions'!$B$13</x:f>
        <x:v>38300000</x:v>
      </x:c>
      <x:c r="G139" s="29" t="n">
        <x:f>SUM($F$2:F139)</x:f>
        <x:v>822418250</x:v>
      </x:c>
      <x:c r="H139" s="34" t="n">
        <x:f>G139/'Assumptions'!$B$9/3600</x:f>
        <x:v>28.203643689986283</x:v>
      </x:c>
      <x:c r="I139" s="34" t="n">
        <x:f>G139/'Assumptions'!$B$5/3600</x:f>
        <x:v>16.922186213991772</x:v>
      </x:c>
    </x:row>
    <x:row r="140">
      <x:c r="A140" s="29" t="n">
        <x:v>139</x:v>
      </x:c>
      <x:c r="B140" s="29" t="n">
        <x:f>A140*'Assumptions'!$B$11</x:f>
        <x:v>695</x:v>
      </x:c>
      <x:c r="C140" s="33" t="n">
        <x:f>1+B140/100</x:f>
        <x:v>7.95</x:v>
      </x:c>
      <x:c r="D140" s="33" t="n">
        <x:f>IF(A140&lt;='Assumptions'!$B$10,1,1+('Assumptions'!$B$14-1)*(A140-'Assumptions'!$B$10)/(MAX($A$2:$A$201)-'Assumptions'!$B$10))</x:f>
        <x:v>1.78</x:v>
      </x:c>
      <x:c r="E140" s="29" t="n">
        <x:f>IF(A140&lt;='Assumptions'!$B$10,'Assumptions'!$B$6*A140^2*(1+'Assumptions'!$B$7*(A140/'Assumptions'!$B$10)^'Assumptions'!$B$8),$F$101*(A140/'Assumptions'!$B$10)^'Assumptions'!$B$12*D140)</x:f>
        <x:v>39868551.17879999</x:v>
      </x:c>
      <x:c r="F140" s="29" t="n">
        <x:f>ROUND(E140/'Assumptions'!$B$13,0)*'Assumptions'!$B$13</x:f>
        <x:v>39900000</x:v>
      </x:c>
      <x:c r="G140" s="29" t="n">
        <x:f>SUM($F$2:F140)</x:f>
        <x:v>862318250</x:v>
      </x:c>
      <x:c r="H140" s="34" t="n">
        <x:f>G140/'Assumptions'!$B$9/3600</x:f>
        <x:v>29.57195644718793</x:v>
      </x:c>
      <x:c r="I140" s="34" t="n">
        <x:f>G140/'Assumptions'!$B$5/3600</x:f>
        <x:v>17.74317386831276</x:v>
      </x:c>
    </x:row>
    <x:row r="141">
      <x:c r="A141" s="29" t="n">
        <x:v>140</x:v>
      </x:c>
      <x:c r="B141" s="29" t="n">
        <x:f>A141*'Assumptions'!$B$11</x:f>
        <x:v>700</x:v>
      </x:c>
      <x:c r="C141" s="33" t="n">
        <x:f>1+B141/100</x:f>
        <x:v>8</x:v>
      </x:c>
      <x:c r="D141" s="33" t="n">
        <x:f>IF(A141&lt;='Assumptions'!$B$10,1,1+('Assumptions'!$B$14-1)*(A141-'Assumptions'!$B$10)/(MAX($A$2:$A$201)-'Assumptions'!$B$10))</x:f>
        <x:v>1.8</x:v>
      </x:c>
      <x:c r="E141" s="29" t="n">
        <x:f>IF(A141&lt;='Assumptions'!$B$10,'Assumptions'!$B$6*A141^2*(1+'Assumptions'!$B$7*(A141/'Assumptions'!$B$10)^'Assumptions'!$B$8),$F$101*(A141/'Assumptions'!$B$10)^'Assumptions'!$B$12*D141)</x:f>
        <x:v>41489279.99999999</x:v>
      </x:c>
      <x:c r="F141" s="29" t="n">
        <x:f>ROUND(E141/'Assumptions'!$B$13,0)*'Assumptions'!$B$13</x:f>
        <x:v>41500000</x:v>
      </x:c>
      <x:c r="G141" s="29" t="n">
        <x:f>SUM($F$2:F141)</x:f>
        <x:v>903818250</x:v>
      </x:c>
      <x:c r="H141" s="34" t="n">
        <x:f>G141/'Assumptions'!$B$9/3600</x:f>
        <x:v>30.99513888888889</x:v>
      </x:c>
      <x:c r="I141" s="34" t="n">
        <x:f>G141/'Assumptions'!$B$5/3600</x:f>
        <x:v>18.597083333333334</x:v>
      </x:c>
    </x:row>
    <x:row r="142">
      <x:c r="A142" s="29" t="n">
        <x:v>141</x:v>
      </x:c>
      <x:c r="B142" s="29" t="n">
        <x:f>A142*'Assumptions'!$B$11</x:f>
        <x:v>705</x:v>
      </x:c>
      <x:c r="C142" s="33" t="n">
        <x:f>1+B142/100</x:f>
        <x:v>8.05</x:v>
      </x:c>
      <x:c r="D142" s="33" t="n">
        <x:f>IF(A142&lt;='Assumptions'!$B$10,1,1+('Assumptions'!$B$14-1)*(A142-'Assumptions'!$B$10)/(MAX($A$2:$A$201)-'Assumptions'!$B$10))</x:f>
        <x:v>1.8199999999999998</x:v>
      </x:c>
      <x:c r="E142" s="29" t="n">
        <x:f>IF(A142&lt;='Assumptions'!$B$10,'Assumptions'!$B$6*A142^2*(1+'Assumptions'!$B$7*(A142/'Assumptions'!$B$10)^'Assumptions'!$B$8),$F$101*(A142/'Assumptions'!$B$10)^'Assumptions'!$B$12*D142)</x:f>
        <x:v>43161754.381199986</x:v>
      </x:c>
      <x:c r="F142" s="29" t="n">
        <x:f>ROUND(E142/'Assumptions'!$B$13,0)*'Assumptions'!$B$13</x:f>
        <x:v>43200000</x:v>
      </x:c>
      <x:c r="G142" s="29" t="n">
        <x:f>SUM($F$2:F142)</x:f>
        <x:v>947018250</x:v>
      </x:c>
      <x:c r="H142" s="34" t="n">
        <x:f>G142/'Assumptions'!$B$9/3600</x:f>
        <x:v>32.47662037037037</x:v>
      </x:c>
      <x:c r="I142" s="34" t="n">
        <x:f>G142/'Assumptions'!$B$5/3600</x:f>
        <x:v>19.485972222222223</x:v>
      </x:c>
    </x:row>
    <x:row r="143">
      <x:c r="A143" s="29" t="n">
        <x:v>142</x:v>
      </x:c>
      <x:c r="B143" s="29" t="n">
        <x:f>A143*'Assumptions'!$B$11</x:f>
        <x:v>710</x:v>
      </x:c>
      <x:c r="C143" s="33" t="n">
        <x:f>1+B143/100</x:f>
        <x:v>8.1</x:v>
      </x:c>
      <x:c r="D143" s="33" t="n">
        <x:f>IF(A143&lt;='Assumptions'!$B$10,1,1+('Assumptions'!$B$14-1)*(A143-'Assumptions'!$B$10)/(MAX($A$2:$A$201)-'Assumptions'!$B$10))</x:f>
        <x:v>1.8399999999999999</x:v>
      </x:c>
      <x:c r="E143" s="29" t="n">
        <x:f>IF(A143&lt;='Assumptions'!$B$10,'Assumptions'!$B$6*A143^2*(1+'Assumptions'!$B$7*(A143/'Assumptions'!$B$10)^'Assumptions'!$B$8),$F$101*(A143/'Assumptions'!$B$10)^'Assumptions'!$B$12*D143)</x:f>
        <x:v>44887193.318399996</x:v>
      </x:c>
      <x:c r="F143" s="29" t="n">
        <x:f>ROUND(E143/'Assumptions'!$B$13,0)*'Assumptions'!$B$13</x:f>
        <x:v>44900000</x:v>
      </x:c>
      <x:c r="G143" s="29" t="n">
        <x:f>SUM($F$2:F143)</x:f>
        <x:v>991918250</x:v>
      </x:c>
      <x:c r="H143" s="34" t="n">
        <x:f>G143/'Assumptions'!$B$9/3600</x:f>
        <x:v>34.01640089163237</x:v>
      </x:c>
      <x:c r="I143" s="34" t="n">
        <x:f>G143/'Assumptions'!$B$5/3600</x:f>
        <x:v>20.409840534979423</x:v>
      </x:c>
    </x:row>
    <x:row r="144">
      <x:c r="A144" s="29" t="n">
        <x:v>143</x:v>
      </x:c>
      <x:c r="B144" s="29" t="n">
        <x:f>A144*'Assumptions'!$B$11</x:f>
        <x:v>715</x:v>
      </x:c>
      <x:c r="C144" s="33" t="n">
        <x:f>1+B144/100</x:f>
        <x:v>8.15</x:v>
      </x:c>
      <x:c r="D144" s="33" t="n">
        <x:f>IF(A144&lt;='Assumptions'!$B$10,1,1+('Assumptions'!$B$14-1)*(A144-'Assumptions'!$B$10)/(MAX($A$2:$A$201)-'Assumptions'!$B$10))</x:f>
        <x:v>1.8599999999999999</x:v>
      </x:c>
      <x:c r="E144" s="29" t="n">
        <x:f>IF(A144&lt;='Assumptions'!$B$10,'Assumptions'!$B$6*A144^2*(1+'Assumptions'!$B$7*(A144/'Assumptions'!$B$10)^'Assumptions'!$B$8),$F$101*(A144/'Assumptions'!$B$10)^'Assumptions'!$B$12*D144)</x:f>
        <x:v>46666834.671599984</x:v>
      </x:c>
      <x:c r="F144" s="29" t="n">
        <x:f>ROUND(E144/'Assumptions'!$B$13,0)*'Assumptions'!$B$13</x:f>
        <x:v>46700000</x:v>
      </x:c>
      <x:c r="G144" s="29" t="n">
        <x:f>SUM($F$2:F144)</x:f>
        <x:v>1038618250</x:v>
      </x:c>
      <x:c r="H144" s="34" t="n">
        <x:f>G144/'Assumptions'!$B$9/3600</x:f>
        <x:v>35.6179098079561</x:v>
      </x:c>
      <x:c r="I144" s="34" t="n">
        <x:f>G144/'Assumptions'!$B$5/3600</x:f>
        <x:v>21.37074588477366</x:v>
      </x:c>
    </x:row>
    <x:row r="145">
      <x:c r="A145" s="29" t="n">
        <x:v>144</x:v>
      </x:c>
      <x:c r="B145" s="29" t="n">
        <x:f>A145*'Assumptions'!$B$11</x:f>
        <x:v>720</x:v>
      </x:c>
      <x:c r="C145" s="33" t="n">
        <x:f>1+B145/100</x:f>
        <x:v>8.2</x:v>
      </x:c>
      <x:c r="D145" s="33" t="n">
        <x:f>IF(A145&lt;='Assumptions'!$B$10,1,1+('Assumptions'!$B$14-1)*(A145-'Assumptions'!$B$10)/(MAX($A$2:$A$201)-'Assumptions'!$B$10))</x:f>
        <x:v>1.88</x:v>
      </x:c>
      <x:c r="E145" s="29" t="n">
        <x:f>IF(A145&lt;='Assumptions'!$B$10,'Assumptions'!$B$6*A145^2*(1+'Assumptions'!$B$7*(A145/'Assumptions'!$B$10)^'Assumptions'!$B$8),$F$101*(A145/'Assumptions'!$B$10)^'Assumptions'!$B$12*D145)</x:f>
        <x:v>48501935.3088</x:v>
      </x:c>
      <x:c r="F145" s="29" t="n">
        <x:f>ROUND(E145/'Assumptions'!$B$13,0)*'Assumptions'!$B$13</x:f>
        <x:v>48500000</x:v>
      </x:c>
      <x:c r="G145" s="29" t="n">
        <x:f>SUM($F$2:F145)</x:f>
        <x:v>1087118250</x:v>
      </x:c>
      <x:c r="H145" s="34" t="n">
        <x:f>G145/'Assumptions'!$B$9/3600</x:f>
        <x:v>37.28114711934157</x:v>
      </x:c>
      <x:c r="I145" s="34" t="n">
        <x:f>G145/'Assumptions'!$B$5/3600</x:f>
        <x:v>22.368688271604938</x:v>
      </x:c>
    </x:row>
    <x:row r="146">
      <x:c r="A146" s="29" t="n">
        <x:v>145</x:v>
      </x:c>
      <x:c r="B146" s="29" t="n">
        <x:f>A146*'Assumptions'!$B$11</x:f>
        <x:v>725</x:v>
      </x:c>
      <x:c r="C146" s="33" t="n">
        <x:f>1+B146/100</x:f>
        <x:v>8.25</x:v>
      </x:c>
      <x:c r="D146" s="33" t="n">
        <x:f>IF(A146&lt;='Assumptions'!$B$10,1,1+('Assumptions'!$B$14-1)*(A146-'Assumptions'!$B$10)/(MAX($A$2:$A$201)-'Assumptions'!$B$10))</x:f>
        <x:v>1.9</x:v>
      </x:c>
      <x:c r="E146" s="29" t="n">
        <x:f>IF(A146&lt;='Assumptions'!$B$10,'Assumptions'!$B$6*A146^2*(1+'Assumptions'!$B$7*(A146/'Assumptions'!$B$10)^'Assumptions'!$B$8),$F$101*(A146/'Assumptions'!$B$10)^'Assumptions'!$B$12*D146)</x:f>
        <x:v>50393771.25</x:v>
      </x:c>
      <x:c r="F146" s="29" t="n">
        <x:f>ROUND(E146/'Assumptions'!$B$13,0)*'Assumptions'!$B$13</x:f>
        <x:v>50400000</x:v>
      </x:c>
      <x:c r="G146" s="29" t="n">
        <x:f>SUM($F$2:F146)</x:f>
        <x:v>1137518250</x:v>
      </x:c>
      <x:c r="H146" s="34" t="n">
        <x:f>G146/'Assumptions'!$B$9/3600</x:f>
        <x:v>39.00954218106996</x:v>
      </x:c>
      <x:c r="I146" s="34" t="n">
        <x:f>G146/'Assumptions'!$B$5/3600</x:f>
        <x:v>23.405725308641976</x:v>
      </x:c>
    </x:row>
    <x:row r="147">
      <x:c r="A147" s="29" t="n">
        <x:v>146</x:v>
      </x:c>
      <x:c r="B147" s="29" t="n">
        <x:f>A147*'Assumptions'!$B$11</x:f>
        <x:v>730</x:v>
      </x:c>
      <x:c r="C147" s="33" t="n">
        <x:f>1+B147/100</x:f>
        <x:v>8.3</x:v>
      </x:c>
      <x:c r="D147" s="33" t="n">
        <x:f>IF(A147&lt;='Assumptions'!$B$10,1,1+('Assumptions'!$B$14-1)*(A147-'Assumptions'!$B$10)/(MAX($A$2:$A$201)-'Assumptions'!$B$10))</x:f>
        <x:v>1.92</x:v>
      </x:c>
      <x:c r="E147" s="29" t="n">
        <x:f>IF(A147&lt;='Assumptions'!$B$10,'Assumptions'!$B$6*A147^2*(1+'Assumptions'!$B$7*(A147/'Assumptions'!$B$10)^'Assumptions'!$B$8),$F$101*(A147/'Assumptions'!$B$10)^'Assumptions'!$B$12*D147)</x:f>
        <x:v>52343637.81119999</x:v>
      </x:c>
      <x:c r="F147" s="29" t="n">
        <x:f>ROUND(E147/'Assumptions'!$B$13,0)*'Assumptions'!$B$13</x:f>
        <x:v>52300000</x:v>
      </x:c>
      <x:c r="G147" s="29" t="n">
        <x:f>SUM($F$2:F147)</x:f>
        <x:v>1189818250</x:v>
      </x:c>
      <x:c r="H147" s="34" t="n">
        <x:f>G147/'Assumptions'!$B$9/3600</x:f>
        <x:v>40.80309499314129</x:v>
      </x:c>
      <x:c r="I147" s="34" t="n">
        <x:f>G147/'Assumptions'!$B$5/3600</x:f>
        <x:v>24.481856995884772</x:v>
      </x:c>
    </x:row>
    <x:row r="148">
      <x:c r="A148" s="29" t="n">
        <x:v>147</x:v>
      </x:c>
      <x:c r="B148" s="29" t="n">
        <x:f>A148*'Assumptions'!$B$11</x:f>
        <x:v>735</x:v>
      </x:c>
      <x:c r="C148" s="33" t="n">
        <x:f>1+B148/100</x:f>
        <x:v>8.35</x:v>
      </x:c>
      <x:c r="D148" s="33" t="n">
        <x:f>IF(A148&lt;='Assumptions'!$B$10,1,1+('Assumptions'!$B$14-1)*(A148-'Assumptions'!$B$10)/(MAX($A$2:$A$201)-'Assumptions'!$B$10))</x:f>
        <x:v>1.94</x:v>
      </x:c>
      <x:c r="E148" s="29" t="n">
        <x:f>IF(A148&lt;='Assumptions'!$B$10,'Assumptions'!$B$6*A148^2*(1+'Assumptions'!$B$7*(A148/'Assumptions'!$B$10)^'Assumptions'!$B$8),$F$101*(A148/'Assumptions'!$B$10)^'Assumptions'!$B$12*D148)</x:f>
        <x:v>54352849.748399995</x:v>
      </x:c>
      <x:c r="F148" s="29" t="n">
        <x:f>ROUND(E148/'Assumptions'!$B$13,0)*'Assumptions'!$B$13</x:f>
        <x:v>54400000</x:v>
      </x:c>
      <x:c r="G148" s="29" t="n">
        <x:f>SUM($F$2:F148)</x:f>
        <x:v>1244218250</x:v>
      </x:c>
      <x:c r="H148" s="34" t="n">
        <x:f>G148/'Assumptions'!$B$9/3600</x:f>
        <x:v>42.66866426611797</x:v>
      </x:c>
      <x:c r="I148" s="34" t="n">
        <x:f>G148/'Assumptions'!$B$5/3600</x:f>
        <x:v>25.60119855967078</x:v>
      </x:c>
    </x:row>
    <x:row r="149">
      <x:c r="A149" s="29" t="n">
        <x:v>148</x:v>
      </x:c>
      <x:c r="B149" s="29" t="n">
        <x:f>A149*'Assumptions'!$B$11</x:f>
        <x:v>740</x:v>
      </x:c>
      <x:c r="C149" s="33" t="n">
        <x:f>1+B149/100</x:f>
        <x:v>8.4</x:v>
      </x:c>
      <x:c r="D149" s="33" t="n">
        <x:f>IF(A149&lt;='Assumptions'!$B$10,1,1+('Assumptions'!$B$14-1)*(A149-'Assumptions'!$B$10)/(MAX($A$2:$A$201)-'Assumptions'!$B$10))</x:f>
        <x:v>1.96</x:v>
      </x:c>
      <x:c r="E149" s="29" t="n">
        <x:f>IF(A149&lt;='Assumptions'!$B$10,'Assumptions'!$B$6*A149^2*(1+'Assumptions'!$B$7*(A149/'Assumptions'!$B$10)^'Assumptions'!$B$8),$F$101*(A149/'Assumptions'!$B$10)^'Assumptions'!$B$12*D149)</x:f>
        <x:v>56422741.401599996</x:v>
      </x:c>
      <x:c r="F149" s="29" t="n">
        <x:f>ROUND(E149/'Assumptions'!$B$13,0)*'Assumptions'!$B$13</x:f>
        <x:v>56400000</x:v>
      </x:c>
      <x:c r="G149" s="29" t="n">
        <x:f>SUM($F$2:F149)</x:f>
        <x:v>1300618250</x:v>
      </x:c>
      <x:c r="H149" s="34" t="n">
        <x:f>G149/'Assumptions'!$B$9/3600</x:f>
        <x:v>44.60282064471879</x:v>
      </x:c>
      <x:c r="I149" s="34" t="n">
        <x:f>G149/'Assumptions'!$B$5/3600</x:f>
        <x:v>26.761692386831278</x:v>
      </x:c>
    </x:row>
    <x:row r="150">
      <x:c r="A150" s="29" t="n">
        <x:v>149</x:v>
      </x:c>
      <x:c r="B150" s="29" t="n">
        <x:f>A150*'Assumptions'!$B$11</x:f>
        <x:v>745</x:v>
      </x:c>
      <x:c r="C150" s="33" t="n">
        <x:f>1+B150/100</x:f>
        <x:v>8.45</x:v>
      </x:c>
      <x:c r="D150" s="33" t="n">
        <x:f>IF(A150&lt;='Assumptions'!$B$10,1,1+('Assumptions'!$B$14-1)*(A150-'Assumptions'!$B$10)/(MAX($A$2:$A$201)-'Assumptions'!$B$10))</x:f>
        <x:v>1.98</x:v>
      </x:c>
      <x:c r="E150" s="29" t="n">
        <x:f>IF(A150&lt;='Assumptions'!$B$10,'Assumptions'!$B$6*A150^2*(1+'Assumptions'!$B$7*(A150/'Assumptions'!$B$10)^'Assumptions'!$B$8),$F$101*(A150/'Assumptions'!$B$10)^'Assumptions'!$B$12*D150)</x:f>
        <x:v>58554666.8388</x:v>
      </x:c>
      <x:c r="F150" s="29" t="n">
        <x:f>ROUND(E150/'Assumptions'!$B$13,0)*'Assumptions'!$B$13</x:f>
        <x:v>58600000</x:v>
      </x:c>
      <x:c r="G150" s="29" t="n">
        <x:f>SUM($F$2:F150)</x:f>
        <x:v>1359218250</x:v>
      </x:c>
      <x:c r="H150" s="34" t="n">
        <x:f>G150/'Assumptions'!$B$9/3600</x:f>
        <x:v>46.61242283950617</x:v>
      </x:c>
      <x:c r="I150" s="34" t="n">
        <x:f>G150/'Assumptions'!$B$5/3600</x:f>
        <x:v>27.967453703703704</x:v>
      </x:c>
    </x:row>
    <x:row r="151">
      <x:c r="A151" s="29" t="n">
        <x:v>150</x:v>
      </x:c>
      <x:c r="B151" s="29" t="n">
        <x:f>A151*'Assumptions'!$B$11</x:f>
        <x:v>750</x:v>
      </x:c>
      <x:c r="C151" s="33" t="n">
        <x:f>1+B151/100</x:f>
        <x:v>8.5</x:v>
      </x:c>
      <x:c r="D151" s="33" t="n">
        <x:f>IF(A151&lt;='Assumptions'!$B$10,1,1+('Assumptions'!$B$14-1)*(A151-'Assumptions'!$B$10)/(MAX($A$2:$A$201)-'Assumptions'!$B$10))</x:f>
        <x:v>2</x:v>
      </x:c>
      <x:c r="E151" s="29" t="n">
        <x:f>IF(A151&lt;='Assumptions'!$B$10,'Assumptions'!$B$6*A151^2*(1+'Assumptions'!$B$7*(A151/'Assumptions'!$B$10)^'Assumptions'!$B$8),$F$101*(A151/'Assumptions'!$B$10)^'Assumptions'!$B$12*D151)</x:f>
        <x:v>60750000</x:v>
      </x:c>
      <x:c r="F151" s="29" t="n">
        <x:f>ROUND(E151/'Assumptions'!$B$13,0)*'Assumptions'!$B$13</x:f>
        <x:v>60800000</x:v>
      </x:c>
      <x:c r="G151" s="29" t="n">
        <x:f>SUM($F$2:F151)</x:f>
        <x:v>1420018250</x:v>
      </x:c>
      <x:c r="H151" s="34" t="n">
        <x:f>G151/'Assumptions'!$B$9/3600</x:f>
        <x:v>48.69747085048011</x:v>
      </x:c>
      <x:c r="I151" s="34" t="n">
        <x:f>G151/'Assumptions'!$B$5/3600</x:f>
        <x:v>29.218482510288066</x:v>
      </x:c>
    </x:row>
    <x:row r="152">
      <x:c r="A152" s="29" t="n">
        <x:v>151</x:v>
      </x:c>
      <x:c r="B152" s="29" t="n">
        <x:f>A152*'Assumptions'!$B$11</x:f>
        <x:v>755</x:v>
      </x:c>
      <x:c r="C152" s="33" t="n">
        <x:f>1+B152/100</x:f>
        <x:v>8.55</x:v>
      </x:c>
      <x:c r="D152" s="33" t="n">
        <x:f>IF(A152&lt;='Assumptions'!$B$10,1,1+('Assumptions'!$B$14-1)*(A152-'Assumptions'!$B$10)/(MAX($A$2:$A$201)-'Assumptions'!$B$10))</x:f>
        <x:v>2.02</x:v>
      </x:c>
      <x:c r="E152" s="29" t="n">
        <x:f>IF(A152&lt;='Assumptions'!$B$10,'Assumptions'!$B$6*A152^2*(1+'Assumptions'!$B$7*(A152/'Assumptions'!$B$10)^'Assumptions'!$B$8),$F$101*(A152/'Assumptions'!$B$10)^'Assumptions'!$B$12*D152)</x:f>
        <x:v>63010134.8412</x:v>
      </x:c>
      <x:c r="F152" s="29" t="n">
        <x:f>ROUND(E152/'Assumptions'!$B$13,0)*'Assumptions'!$B$13</x:f>
        <x:v>63000000</x:v>
      </x:c>
      <x:c r="G152" s="29" t="n">
        <x:f>SUM($F$2:F152)</x:f>
        <x:v>1483018250</x:v>
      </x:c>
      <x:c r="H152" s="34" t="n">
        <x:f>G152/'Assumptions'!$B$9/3600</x:f>
        <x:v>50.8579646776406</x:v>
      </x:c>
      <x:c r="I152" s="34" t="n">
        <x:f>G152/'Assumptions'!$B$5/3600</x:f>
        <x:v>30.514778806584363</x:v>
      </x:c>
    </x:row>
    <x:row r="153">
      <x:c r="A153" s="29" t="n">
        <x:v>152</x:v>
      </x:c>
      <x:c r="B153" s="29" t="n">
        <x:f>A153*'Assumptions'!$B$11</x:f>
        <x:v>760</x:v>
      </x:c>
      <x:c r="C153" s="33" t="n">
        <x:f>1+B153/100</x:f>
        <x:v>8.6</x:v>
      </x:c>
      <x:c r="D153" s="33" t="n">
        <x:f>IF(A153&lt;='Assumptions'!$B$10,1,1+('Assumptions'!$B$14-1)*(A153-'Assumptions'!$B$10)/(MAX($A$2:$A$201)-'Assumptions'!$B$10))</x:f>
        <x:v>2.04</x:v>
      </x:c>
      <x:c r="E153" s="29" t="n">
        <x:f>IF(A153&lt;='Assumptions'!$B$10,'Assumptions'!$B$6*A153^2*(1+'Assumptions'!$B$7*(A153/'Assumptions'!$B$10)^'Assumptions'!$B$8),$F$101*(A153/'Assumptions'!$B$10)^'Assumptions'!$B$12*D153)</x:f>
        <x:v>65336485.47839999</x:v>
      </x:c>
      <x:c r="F153" s="29" t="n">
        <x:f>ROUND(E153/'Assumptions'!$B$13,0)*'Assumptions'!$B$13</x:f>
        <x:v>65300000</x:v>
      </x:c>
      <x:c r="G153" s="29" t="n">
        <x:f>SUM($F$2:F153)</x:f>
        <x:v>1548318250</x:v>
      </x:c>
      <x:c r="H153" s="34" t="n">
        <x:f>G153/'Assumptions'!$B$9/3600</x:f>
        <x:v>53.09733367626886</x:v>
      </x:c>
      <x:c r="I153" s="34" t="n">
        <x:f>G153/'Assumptions'!$B$5/3600</x:f>
        <x:v>31.858400205761317</x:v>
      </x:c>
    </x:row>
    <x:row r="154">
      <x:c r="A154" s="29" t="n">
        <x:v>153</x:v>
      </x:c>
      <x:c r="B154" s="29" t="n">
        <x:f>A154*'Assumptions'!$B$11</x:f>
        <x:v>765</x:v>
      </x:c>
      <x:c r="C154" s="33" t="n">
        <x:f>1+B154/100</x:f>
        <x:v>8.65</x:v>
      </x:c>
      <x:c r="D154" s="33" t="n">
        <x:f>IF(A154&lt;='Assumptions'!$B$10,1,1+('Assumptions'!$B$14-1)*(A154-'Assumptions'!$B$10)/(MAX($A$2:$A$201)-'Assumptions'!$B$10))</x:f>
        <x:v>2.06</x:v>
      </x:c>
      <x:c r="E154" s="29" t="n">
        <x:f>IF(A154&lt;='Assumptions'!$B$10,'Assumptions'!$B$6*A154^2*(1+'Assumptions'!$B$7*(A154/'Assumptions'!$B$10)^'Assumptions'!$B$8),$F$101*(A154/'Assumptions'!$B$10)^'Assumptions'!$B$12*D154)</x:f>
        <x:v>67730486.33160001</x:v>
      </x:c>
      <x:c r="F154" s="29" t="n">
        <x:f>ROUND(E154/'Assumptions'!$B$13,0)*'Assumptions'!$B$13</x:f>
        <x:v>67700000</x:v>
      </x:c>
      <x:c r="G154" s="29" t="n">
        <x:f>SUM($F$2:F154)</x:f>
        <x:v>1616018250</x:v>
      </x:c>
      <x:c r="H154" s="34" t="n">
        <x:f>G154/'Assumptions'!$B$9/3600</x:f>
        <x:v>55.41900720164609</x:v>
      </x:c>
      <x:c r="I154" s="34" t="n">
        <x:f>G154/'Assumptions'!$B$5/3600</x:f>
        <x:v>33.25140432098765</x:v>
      </x:c>
    </x:row>
    <x:row r="155">
      <x:c r="A155" s="29" t="n">
        <x:v>154</x:v>
      </x:c>
      <x:c r="B155" s="29" t="n">
        <x:f>A155*'Assumptions'!$B$11</x:f>
        <x:v>770</x:v>
      </x:c>
      <x:c r="C155" s="33" t="n">
        <x:f>1+B155/100</x:f>
        <x:v>8.7</x:v>
      </x:c>
      <x:c r="D155" s="33" t="n">
        <x:f>IF(A155&lt;='Assumptions'!$B$10,1,1+('Assumptions'!$B$14-1)*(A155-'Assumptions'!$B$10)/(MAX($A$2:$A$201)-'Assumptions'!$B$10))</x:f>
        <x:v>2.08</x:v>
      </x:c>
      <x:c r="E155" s="29" t="n">
        <x:f>IF(A155&lt;='Assumptions'!$B$10,'Assumptions'!$B$6*A155^2*(1+'Assumptions'!$B$7*(A155/'Assumptions'!$B$10)^'Assumptions'!$B$8),$F$101*(A155/'Assumptions'!$B$10)^'Assumptions'!$B$12*D155)</x:f>
        <x:v>70193592.2688</x:v>
      </x:c>
      <x:c r="F155" s="29" t="n">
        <x:f>ROUND(E155/'Assumptions'!$B$13,0)*'Assumptions'!$B$13</x:f>
        <x:v>70200000</x:v>
      </x:c>
      <x:c r="G155" s="29" t="n">
        <x:f>SUM($F$2:F155)</x:f>
        <x:v>1686218250</x:v>
      </x:c>
      <x:c r="H155" s="34" t="n">
        <x:f>G155/'Assumptions'!$B$9/3600</x:f>
        <x:v>57.826414609053494</x:v>
      </x:c>
      <x:c r="I155" s="34" t="n">
        <x:f>G155/'Assumptions'!$B$5/3600</x:f>
        <x:v>34.6958487654321</x:v>
      </x:c>
    </x:row>
    <x:row r="156">
      <x:c r="A156" s="29" t="n">
        <x:v>155</x:v>
      </x:c>
      <x:c r="B156" s="29" t="n">
        <x:f>A156*'Assumptions'!$B$11</x:f>
        <x:v>775</x:v>
      </x:c>
      <x:c r="C156" s="33" t="n">
        <x:f>1+B156/100</x:f>
        <x:v>8.75</x:v>
      </x:c>
      <x:c r="D156" s="33" t="n">
        <x:f>IF(A156&lt;='Assumptions'!$B$10,1,1+('Assumptions'!$B$14-1)*(A156-'Assumptions'!$B$10)/(MAX($A$2:$A$201)-'Assumptions'!$B$10))</x:f>
        <x:v>2.1</x:v>
      </x:c>
      <x:c r="E156" s="29" t="n">
        <x:f>IF(A156&lt;='Assumptions'!$B$10,'Assumptions'!$B$6*A156^2*(1+'Assumptions'!$B$7*(A156/'Assumptions'!$B$10)^'Assumptions'!$B$8),$F$101*(A156/'Assumptions'!$B$10)^'Assumptions'!$B$12*D156)</x:f>
        <x:v>72727278.75</x:v>
      </x:c>
      <x:c r="F156" s="29" t="n">
        <x:f>ROUND(E156/'Assumptions'!$B$13,0)*'Assumptions'!$B$13</x:f>
        <x:v>72700000</x:v>
      </x:c>
      <x:c r="G156" s="29" t="n">
        <x:f>SUM($F$2:F156)</x:f>
        <x:v>1758918250</x:v>
      </x:c>
      <x:c r="H156" s="34" t="n">
        <x:f>G156/'Assumptions'!$B$9/3600</x:f>
        <x:v>60.31955589849108</x:v>
      </x:c>
      <x:c r="I156" s="34" t="n">
        <x:f>G156/'Assumptions'!$B$5/3600</x:f>
        <x:v>36.19173353909465</x:v>
      </x:c>
    </x:row>
    <x:row r="157">
      <x:c r="A157" s="29" t="n">
        <x:v>156</x:v>
      </x:c>
      <x:c r="B157" s="29" t="n">
        <x:f>A157*'Assumptions'!$B$11</x:f>
        <x:v>780</x:v>
      </x:c>
      <x:c r="C157" s="33" t="n">
        <x:f>1+B157/100</x:f>
        <x:v>8.8</x:v>
      </x:c>
      <x:c r="D157" s="33" t="n">
        <x:f>IF(A157&lt;='Assumptions'!$B$10,1,1+('Assumptions'!$B$14-1)*(A157-'Assumptions'!$B$10)/(MAX($A$2:$A$201)-'Assumptions'!$B$10))</x:f>
        <x:v>2.12</x:v>
      </x:c>
      <x:c r="E157" s="29" t="n">
        <x:f>IF(A157&lt;='Assumptions'!$B$10,'Assumptions'!$B$6*A157^2*(1+'Assumptions'!$B$7*(A157/'Assumptions'!$B$10)^'Assumptions'!$B$8),$F$101*(A157/'Assumptions'!$B$10)^'Assumptions'!$B$12*D157)</x:f>
        <x:v>75333041.97120002</x:v>
      </x:c>
      <x:c r="F157" s="29" t="n">
        <x:f>ROUND(E157/'Assumptions'!$B$13,0)*'Assumptions'!$B$13</x:f>
        <x:v>75300000</x:v>
      </x:c>
      <x:c r="G157" s="29" t="n">
        <x:f>SUM($F$2:F157)</x:f>
        <x:v>1834218250</x:v>
      </x:c>
      <x:c r="H157" s="34" t="n">
        <x:f>G157/'Assumptions'!$B$9/3600</x:f>
        <x:v>62.90186042524005</x:v>
      </x:c>
      <x:c r="I157" s="34" t="n">
        <x:f>G157/'Assumptions'!$B$5/3600</x:f>
        <x:v>37.74111625514403</x:v>
      </x:c>
    </x:row>
    <x:row r="158">
      <x:c r="A158" s="29" t="n">
        <x:v>157</x:v>
      </x:c>
      <x:c r="B158" s="29" t="n">
        <x:f>A158*'Assumptions'!$B$11</x:f>
        <x:v>785</x:v>
      </x:c>
      <x:c r="C158" s="33" t="n">
        <x:f>1+B158/100</x:f>
        <x:v>8.85</x:v>
      </x:c>
      <x:c r="D158" s="33" t="n">
        <x:f>IF(A158&lt;='Assumptions'!$B$10,1,1+('Assumptions'!$B$14-1)*(A158-'Assumptions'!$B$10)/(MAX($A$2:$A$201)-'Assumptions'!$B$10))</x:f>
        <x:v>2.1399999999999997</x:v>
      </x:c>
      <x:c r="E158" s="29" t="n">
        <x:f>IF(A158&lt;='Assumptions'!$B$10,'Assumptions'!$B$6*A158^2*(1+'Assumptions'!$B$7*(A158/'Assumptions'!$B$10)^'Assumptions'!$B$8),$F$101*(A158/'Assumptions'!$B$10)^'Assumptions'!$B$12*D158)</x:f>
        <x:v>78012399.00840001</x:v>
      </x:c>
      <x:c r="F158" s="29" t="n">
        <x:f>ROUND(E158/'Assumptions'!$B$13,0)*'Assumptions'!$B$13</x:f>
        <x:v>78000000</x:v>
      </x:c>
      <x:c r="G158" s="29" t="n">
        <x:f>SUM($F$2:F158)</x:f>
        <x:v>1912218250</x:v>
      </x:c>
      <x:c r="H158" s="34" t="n">
        <x:f>G158/'Assumptions'!$B$9/3600</x:f>
        <x:v>65.57675754458161</x:v>
      </x:c>
      <x:c r="I158" s="34" t="n">
        <x:f>G158/'Assumptions'!$B$5/3600</x:f>
        <x:v>39.34605452674897</x:v>
      </x:c>
    </x:row>
    <x:row r="159">
      <x:c r="A159" s="29" t="n">
        <x:v>158</x:v>
      </x:c>
      <x:c r="B159" s="29" t="n">
        <x:f>A159*'Assumptions'!$B$11</x:f>
        <x:v>790</x:v>
      </x:c>
      <x:c r="C159" s="33" t="n">
        <x:f>1+B159/100</x:f>
        <x:v>8.9</x:v>
      </x:c>
      <x:c r="D159" s="33" t="n">
        <x:f>IF(A159&lt;='Assumptions'!$B$10,1,1+('Assumptions'!$B$14-1)*(A159-'Assumptions'!$B$10)/(MAX($A$2:$A$201)-'Assumptions'!$B$10))</x:f>
        <x:v>2.16</x:v>
      </x:c>
      <x:c r="E159" s="29" t="n">
        <x:f>IF(A159&lt;='Assumptions'!$B$10,'Assumptions'!$B$6*A159^2*(1+'Assumptions'!$B$7*(A159/'Assumptions'!$B$10)^'Assumptions'!$B$8),$F$101*(A159/'Assumptions'!$B$10)^'Assumptions'!$B$12*D159)</x:f>
        <x:v>80766887.96160002</x:v>
      </x:c>
      <x:c r="F159" s="29" t="n">
        <x:f>ROUND(E159/'Assumptions'!$B$13,0)*'Assumptions'!$B$13</x:f>
        <x:v>80800000</x:v>
      </x:c>
      <x:c r="G159" s="29" t="n">
        <x:f>SUM($F$2:F159)</x:f>
        <x:v>1993018250</x:v>
      </x:c>
      <x:c r="H159" s="34" t="n">
        <x:f>G159/'Assumptions'!$B$9/3600</x:f>
        <x:v>68.34767661179698</x:v>
      </x:c>
      <x:c r="I159" s="34" t="n">
        <x:f>G159/'Assumptions'!$B$5/3600</x:f>
        <x:v>41.00860596707819</x:v>
      </x:c>
    </x:row>
    <x:row r="160">
      <x:c r="A160" s="29" t="n">
        <x:v>159</x:v>
      </x:c>
      <x:c r="B160" s="29" t="n">
        <x:f>A160*'Assumptions'!$B$11</x:f>
        <x:v>795</x:v>
      </x:c>
      <x:c r="C160" s="33" t="n">
        <x:f>1+B160/100</x:f>
        <x:v>8.95</x:v>
      </x:c>
      <x:c r="D160" s="33" t="n">
        <x:f>IF(A160&lt;='Assumptions'!$B$10,1,1+('Assumptions'!$B$14-1)*(A160-'Assumptions'!$B$10)/(MAX($A$2:$A$201)-'Assumptions'!$B$10))</x:f>
        <x:v>2.1799999999999997</x:v>
      </x:c>
      <x:c r="E160" s="29" t="n">
        <x:f>IF(A160&lt;='Assumptions'!$B$10,'Assumptions'!$B$6*A160^2*(1+'Assumptions'!$B$7*(A160/'Assumptions'!$B$10)^'Assumptions'!$B$8),$F$101*(A160/'Assumptions'!$B$10)^'Assumptions'!$B$12*D160)</x:f>
        <x:v>83598068.0988</x:v>
      </x:c>
      <x:c r="F160" s="29" t="n">
        <x:f>ROUND(E160/'Assumptions'!$B$13,0)*'Assumptions'!$B$13</x:f>
        <x:v>83600000</x:v>
      </x:c>
      <x:c r="G160" s="29" t="n">
        <x:f>SUM($F$2:F160)</x:f>
        <x:v>2076618250</x:v>
      </x:c>
      <x:c r="H160" s="34" t="n">
        <x:f>G160/'Assumptions'!$B$9/3600</x:f>
        <x:v>71.21461762688614</x:v>
      </x:c>
      <x:c r="I160" s="34" t="n">
        <x:f>G160/'Assumptions'!$B$5/3600</x:f>
        <x:v>42.72877057613169</x:v>
      </x:c>
    </x:row>
    <x:row r="161">
      <x:c r="A161" s="29" t="n">
        <x:v>160</x:v>
      </x:c>
      <x:c r="B161" s="29" t="n">
        <x:f>A161*'Assumptions'!$B$11</x:f>
        <x:v>800</x:v>
      </x:c>
      <x:c r="C161" s="33" t="n">
        <x:f>1+B161/100</x:f>
        <x:v>9</x:v>
      </x:c>
      <x:c r="D161" s="33" t="n">
        <x:f>IF(A161&lt;='Assumptions'!$B$10,1,1+('Assumptions'!$B$14-1)*(A161-'Assumptions'!$B$10)/(MAX($A$2:$A$201)-'Assumptions'!$B$10))</x:f>
        <x:v>2.2</x:v>
      </x:c>
      <x:c r="E161" s="29" t="n">
        <x:f>IF(A161&lt;='Assumptions'!$B$10,'Assumptions'!$B$6*A161^2*(1+'Assumptions'!$B$7*(A161/'Assumptions'!$B$10)^'Assumptions'!$B$8),$F$101*(A161/'Assumptions'!$B$10)^'Assumptions'!$B$12*D161)</x:f>
        <x:v>86507520.00000003</x:v>
      </x:c>
      <x:c r="F161" s="29" t="n">
        <x:f>ROUND(E161/'Assumptions'!$B$13,0)*'Assumptions'!$B$13</x:f>
        <x:v>86500000</x:v>
      </x:c>
      <x:c r="G161" s="29" t="n">
        <x:f>SUM($F$2:F161)</x:f>
        <x:v>2163118250</x:v>
      </x:c>
      <x:c r="H161" s="34" t="n">
        <x:f>G161/'Assumptions'!$B$9/3600</x:f>
        <x:v>74.18100994513033</x:v>
      </x:c>
      <x:c r="I161" s="34" t="n">
        <x:f>G161/'Assumptions'!$B$5/3600</x:f>
        <x:v>44.50860596707819</x:v>
      </x:c>
    </x:row>
    <x:row r="162">
      <x:c r="A162" s="29" t="n">
        <x:v>161</x:v>
      </x:c>
      <x:c r="B162" s="29" t="n">
        <x:f>A162*'Assumptions'!$B$11</x:f>
        <x:v>805</x:v>
      </x:c>
      <x:c r="C162" s="33" t="n">
        <x:f>1+B162/100</x:f>
        <x:v>9.05</x:v>
      </x:c>
      <x:c r="D162" s="33" t="n">
        <x:f>IF(A162&lt;='Assumptions'!$B$10,1,1+('Assumptions'!$B$14-1)*(A162-'Assumptions'!$B$10)/(MAX($A$2:$A$201)-'Assumptions'!$B$10))</x:f>
        <x:v>2.2199999999999998</x:v>
      </x:c>
      <x:c r="E162" s="29" t="n">
        <x:f>IF(A162&lt;='Assumptions'!$B$10,'Assumptions'!$B$6*A162^2*(1+'Assumptions'!$B$7*(A162/'Assumptions'!$B$10)^'Assumptions'!$B$8),$F$101*(A162/'Assumptions'!$B$10)^'Assumptions'!$B$12*D162)</x:f>
        <x:v>89496845.70120001</x:v>
      </x:c>
      <x:c r="F162" s="29" t="n">
        <x:f>ROUND(E162/'Assumptions'!$B$13,0)*'Assumptions'!$B$13</x:f>
        <x:v>89500000</x:v>
      </x:c>
      <x:c r="G162" s="29" t="n">
        <x:f>SUM($F$2:F162)</x:f>
        <x:v>2252618250</x:v>
      </x:c>
      <x:c r="H162" s="34" t="n">
        <x:f>G162/'Assumptions'!$B$9/3600</x:f>
        <x:v>77.25028292181071</x:v>
      </x:c>
      <x:c r="I162" s="34" t="n">
        <x:f>G162/'Assumptions'!$B$5/3600</x:f>
        <x:v>46.350169753086426</x:v>
      </x:c>
    </x:row>
    <x:row r="163">
      <x:c r="A163" s="29" t="n">
        <x:v>162</x:v>
      </x:c>
      <x:c r="B163" s="29" t="n">
        <x:f>A163*'Assumptions'!$B$11</x:f>
        <x:v>810</x:v>
      </x:c>
      <x:c r="C163" s="33" t="n">
        <x:f>1+B163/100</x:f>
        <x:v>9.1</x:v>
      </x:c>
      <x:c r="D163" s="33" t="n">
        <x:f>IF(A163&lt;='Assumptions'!$B$10,1,1+('Assumptions'!$B$14-1)*(A163-'Assumptions'!$B$10)/(MAX($A$2:$A$201)-'Assumptions'!$B$10))</x:f>
        <x:v>2.24</x:v>
      </x:c>
      <x:c r="E163" s="29" t="n">
        <x:f>IF(A163&lt;='Assumptions'!$B$10,'Assumptions'!$B$6*A163^2*(1+'Assumptions'!$B$7*(A163/'Assumptions'!$B$10)^'Assumptions'!$B$8),$F$101*(A163/'Assumptions'!$B$10)^'Assumptions'!$B$12*D163)</x:f>
        <x:v>92567668.83840004</x:v>
      </x:c>
      <x:c r="F163" s="29" t="n">
        <x:f>ROUND(E163/'Assumptions'!$B$13,0)*'Assumptions'!$B$13</x:f>
        <x:v>92600000</x:v>
      </x:c>
      <x:c r="G163" s="29" t="n">
        <x:f>SUM($F$2:F163)</x:f>
        <x:v>2345218250</x:v>
      </x:c>
      <x:c r="H163" s="34" t="n">
        <x:f>G163/'Assumptions'!$B$9/3600</x:f>
        <x:v>80.42586591220851</x:v>
      </x:c>
      <x:c r="I163" s="34" t="n">
        <x:f>G163/'Assumptions'!$B$5/3600</x:f>
        <x:v>48.2555195473251</x:v>
      </x:c>
    </x:row>
    <x:row r="164">
      <x:c r="A164" s="29" t="n">
        <x:v>163</x:v>
      </x:c>
      <x:c r="B164" s="29" t="n">
        <x:f>A164*'Assumptions'!$B$11</x:f>
        <x:v>815</x:v>
      </x:c>
      <x:c r="C164" s="33" t="n">
        <x:f>1+B164/100</x:f>
        <x:v>9.15</x:v>
      </x:c>
      <x:c r="D164" s="33" t="n">
        <x:f>IF(A164&lt;='Assumptions'!$B$10,1,1+('Assumptions'!$B$14-1)*(A164-'Assumptions'!$B$10)/(MAX($A$2:$A$201)-'Assumptions'!$B$10))</x:f>
        <x:v>2.26</x:v>
      </x:c>
      <x:c r="E164" s="29" t="n">
        <x:f>IF(A164&lt;='Assumptions'!$B$10,'Assumptions'!$B$6*A164^2*(1+'Assumptions'!$B$7*(A164/'Assumptions'!$B$10)^'Assumptions'!$B$8),$F$101*(A164/'Assumptions'!$B$10)^'Assumptions'!$B$12*D164)</x:f>
        <x:v>95721634.79159996</x:v>
      </x:c>
      <x:c r="F164" s="29" t="n">
        <x:f>ROUND(E164/'Assumptions'!$B$13,0)*'Assumptions'!$B$13</x:f>
        <x:v>95700000</x:v>
      </x:c>
      <x:c r="G164" s="29" t="n">
        <x:f>SUM($F$2:F164)</x:f>
        <x:v>2440918250</x:v>
      </x:c>
      <x:c r="H164" s="34" t="n">
        <x:f>G164/'Assumptions'!$B$9/3600</x:f>
        <x:v>83.70775891632374</x:v>
      </x:c>
      <x:c r="I164" s="34" t="n">
        <x:f>G164/'Assumptions'!$B$5/3600</x:f>
        <x:v>50.22465534979424</x:v>
      </x:c>
    </x:row>
    <x:row r="165">
      <x:c r="A165" s="29" t="n">
        <x:v>164</x:v>
      </x:c>
      <x:c r="B165" s="29" t="n">
        <x:f>A165*'Assumptions'!$B$11</x:f>
        <x:v>820</x:v>
      </x:c>
      <x:c r="C165" s="33" t="n">
        <x:f>1+B165/100</x:f>
        <x:v>9.2</x:v>
      </x:c>
      <x:c r="D165" s="33" t="n">
        <x:f>IF(A165&lt;='Assumptions'!$B$10,1,1+('Assumptions'!$B$14-1)*(A165-'Assumptions'!$B$10)/(MAX($A$2:$A$201)-'Assumptions'!$B$10))</x:f>
        <x:v>2.2800000000000002</x:v>
      </x:c>
      <x:c r="E165" s="29" t="n">
        <x:f>IF(A165&lt;='Assumptions'!$B$10,'Assumptions'!$B$6*A165^2*(1+'Assumptions'!$B$7*(A165/'Assumptions'!$B$10)^'Assumptions'!$B$8),$F$101*(A165/'Assumptions'!$B$10)^'Assumptions'!$B$12*D165)</x:f>
        <x:v>98960410.82879998</x:v>
      </x:c>
      <x:c r="F165" s="29" t="n">
        <x:f>ROUND(E165/'Assumptions'!$B$13,0)*'Assumptions'!$B$13</x:f>
        <x:v>99000000</x:v>
      </x:c>
      <x:c r="G165" s="29" t="n">
        <x:f>SUM($F$2:F165)</x:f>
        <x:v>2539918250</x:v>
      </x:c>
      <x:c r="H165" s="34" t="n">
        <x:f>G165/'Assumptions'!$B$9/3600</x:f>
        <x:v>87.10282064471879</x:v>
      </x:c>
      <x:c r="I165" s="34" t="n">
        <x:f>G165/'Assumptions'!$B$5/3600</x:f>
        <x:v>52.26169238683127</x:v>
      </x:c>
    </x:row>
    <x:row r="166">
      <x:c r="A166" s="29" t="n">
        <x:v>165</x:v>
      </x:c>
      <x:c r="B166" s="29" t="n">
        <x:f>A166*'Assumptions'!$B$11</x:f>
        <x:v>825</x:v>
      </x:c>
      <x:c r="C166" s="33" t="n">
        <x:f>1+B166/100</x:f>
        <x:v>9.25</x:v>
      </x:c>
      <x:c r="D166" s="33" t="n">
        <x:f>IF(A166&lt;='Assumptions'!$B$10,1,1+('Assumptions'!$B$14-1)*(A166-'Assumptions'!$B$10)/(MAX($A$2:$A$201)-'Assumptions'!$B$10))</x:f>
        <x:v>2.3</x:v>
      </x:c>
      <x:c r="E166" s="29" t="n">
        <x:f>IF(A166&lt;='Assumptions'!$B$10,'Assumptions'!$B$6*A166^2*(1+'Assumptions'!$B$7*(A166/'Assumptions'!$B$10)^'Assumptions'!$B$8),$F$101*(A166/'Assumptions'!$B$10)^'Assumptions'!$B$12*D166)</x:f>
        <x:v>102285686.24999997</x:v>
      </x:c>
      <x:c r="F166" s="29" t="n">
        <x:f>ROUND(E166/'Assumptions'!$B$13,0)*'Assumptions'!$B$13</x:f>
        <x:v>102300000</x:v>
      </x:c>
      <x:c r="G166" s="29" t="n">
        <x:f>SUM($F$2:F166)</x:f>
        <x:v>2642218250</x:v>
      </x:c>
      <x:c r="H166" s="34" t="n">
        <x:f>G166/'Assumptions'!$B$9/3600</x:f>
        <x:v>90.6110510973937</x:v>
      </x:c>
      <x:c r="I166" s="34" t="n">
        <x:f>G166/'Assumptions'!$B$5/3600</x:f>
        <x:v>54.366630658436215</x:v>
      </x:c>
    </x:row>
    <x:row r="167">
      <x:c r="A167" s="29" t="n">
        <x:v>166</x:v>
      </x:c>
      <x:c r="B167" s="29" t="n">
        <x:f>A167*'Assumptions'!$B$11</x:f>
        <x:v>830</x:v>
      </x:c>
      <x:c r="C167" s="33" t="n">
        <x:f>1+B167/100</x:f>
        <x:v>9.3</x:v>
      </x:c>
      <x:c r="D167" s="33" t="n">
        <x:f>IF(A167&lt;='Assumptions'!$B$10,1,1+('Assumptions'!$B$14-1)*(A167-'Assumptions'!$B$10)/(MAX($A$2:$A$201)-'Assumptions'!$B$10))</x:f>
        <x:v>2.3200000000000003</x:v>
      </x:c>
      <x:c r="E167" s="29" t="n">
        <x:f>IF(A167&lt;='Assumptions'!$B$10,'Assumptions'!$B$6*A167^2*(1+'Assumptions'!$B$7*(A167/'Assumptions'!$B$10)^'Assumptions'!$B$8),$F$101*(A167/'Assumptions'!$B$10)^'Assumptions'!$B$12*D167)</x:f>
        <x:v>105699172.53119999</x:v>
      </x:c>
      <x:c r="F167" s="29" t="n">
        <x:f>ROUND(E167/'Assumptions'!$B$13,0)*'Assumptions'!$B$13</x:f>
        <x:v>105700000</x:v>
      </x:c>
      <x:c r="G167" s="29" t="n">
        <x:f>SUM($F$2:F167)</x:f>
        <x:v>2747918250</x:v>
      </x:c>
      <x:c r="H167" s="34" t="n">
        <x:f>G167/'Assumptions'!$B$9/3600</x:f>
        <x:v>94.23587962962964</x:v>
      </x:c>
      <x:c r="I167" s="34" t="n">
        <x:f>G167/'Assumptions'!$B$5/3600</x:f>
        <x:v>56.54152777777778</x:v>
      </x:c>
    </x:row>
    <x:row r="168">
      <x:c r="A168" s="29" t="n">
        <x:v>167</x:v>
      </x:c>
      <x:c r="B168" s="29" t="n">
        <x:f>A168*'Assumptions'!$B$11</x:f>
        <x:v>835</x:v>
      </x:c>
      <x:c r="C168" s="33" t="n">
        <x:f>1+B168/100</x:f>
        <x:v>9.35</x:v>
      </x:c>
      <x:c r="D168" s="33" t="n">
        <x:f>IF(A168&lt;='Assumptions'!$B$10,1,1+('Assumptions'!$B$14-1)*(A168-'Assumptions'!$B$10)/(MAX($A$2:$A$201)-'Assumptions'!$B$10))</x:f>
        <x:v>2.34</x:v>
      </x:c>
      <x:c r="E168" s="29" t="n">
        <x:f>IF(A168&lt;='Assumptions'!$B$10,'Assumptions'!$B$6*A168^2*(1+'Assumptions'!$B$7*(A168/'Assumptions'!$B$10)^'Assumptions'!$B$8),$F$101*(A168/'Assumptions'!$B$10)^'Assumptions'!$B$12*D168)</x:f>
        <x:v>109202603.46839997</x:v>
      </x:c>
      <x:c r="F168" s="29" t="n">
        <x:f>ROUND(E168/'Assumptions'!$B$13,0)*'Assumptions'!$B$13</x:f>
        <x:v>109200000</x:v>
      </x:c>
      <x:c r="G168" s="29" t="n">
        <x:f>SUM($F$2:F168)</x:f>
        <x:v>2857118250</x:v>
      </x:c>
      <x:c r="H168" s="34" t="n">
        <x:f>G168/'Assumptions'!$B$9/3600</x:f>
        <x:v>97.98073559670782</x:v>
      </x:c>
      <x:c r="I168" s="34" t="n">
        <x:f>G168/'Assumptions'!$B$5/3600</x:f>
        <x:v>58.788441358024684</x:v>
      </x:c>
    </x:row>
    <x:row r="169">
      <x:c r="A169" s="29" t="n">
        <x:v>168</x:v>
      </x:c>
      <x:c r="B169" s="29" t="n">
        <x:f>A169*'Assumptions'!$B$11</x:f>
        <x:v>840</x:v>
      </x:c>
      <x:c r="C169" s="33" t="n">
        <x:f>1+B169/100</x:f>
        <x:v>9.4</x:v>
      </x:c>
      <x:c r="D169" s="33" t="n">
        <x:f>IF(A169&lt;='Assumptions'!$B$10,1,1+('Assumptions'!$B$14-1)*(A169-'Assumptions'!$B$10)/(MAX($A$2:$A$201)-'Assumptions'!$B$10))</x:f>
        <x:v>2.3600000000000003</x:v>
      </x:c>
      <x:c r="E169" s="29" t="n">
        <x:f>IF(A169&lt;='Assumptions'!$B$10,'Assumptions'!$B$6*A169^2*(1+'Assumptions'!$B$7*(A169/'Assumptions'!$B$10)^'Assumptions'!$B$8),$F$101*(A169/'Assumptions'!$B$10)^'Assumptions'!$B$12*D169)</x:f>
        <x:v>112797735.3216</x:v>
      </x:c>
      <x:c r="F169" s="29" t="n">
        <x:f>ROUND(E169/'Assumptions'!$B$13,0)*'Assumptions'!$B$13</x:f>
        <x:v>112800000</x:v>
      </x:c>
      <x:c r="G169" s="29" t="n">
        <x:f>SUM($F$2:F169)</x:f>
        <x:v>2969918250</x:v>
      </x:c>
      <x:c r="H169" s="34" t="n">
        <x:f>G169/'Assumptions'!$B$9/3600</x:f>
        <x:v>101.84904835390947</x:v>
      </x:c>
      <x:c r="I169" s="34" t="n">
        <x:f>G169/'Assumptions'!$B$5/3600</x:f>
        <x:v>61.10942901234568</x:v>
      </x:c>
    </x:row>
    <x:row r="170">
      <x:c r="A170" s="29" t="n">
        <x:v>169</x:v>
      </x:c>
      <x:c r="B170" s="29" t="n">
        <x:f>A170*'Assumptions'!$B$11</x:f>
        <x:v>845</x:v>
      </x:c>
      <x:c r="C170" s="33" t="n">
        <x:f>1+B170/100</x:f>
        <x:v>9.45</x:v>
      </x:c>
      <x:c r="D170" s="33" t="n">
        <x:f>IF(A170&lt;='Assumptions'!$B$10,1,1+('Assumptions'!$B$14-1)*(A170-'Assumptions'!$B$10)/(MAX($A$2:$A$201)-'Assumptions'!$B$10))</x:f>
        <x:v>2.38</x:v>
      </x:c>
      <x:c r="E170" s="29" t="n">
        <x:f>IF(A170&lt;='Assumptions'!$B$10,'Assumptions'!$B$6*A170^2*(1+'Assumptions'!$B$7*(A170/'Assumptions'!$B$10)^'Assumptions'!$B$8),$F$101*(A170/'Assumptions'!$B$10)^'Assumptions'!$B$12*D170)</x:f>
        <x:v>116486346.95879997</x:v>
      </x:c>
      <x:c r="F170" s="29" t="n">
        <x:f>ROUND(E170/'Assumptions'!$B$13,0)*'Assumptions'!$B$13</x:f>
        <x:v>116500000</x:v>
      </x:c>
      <x:c r="G170" s="29" t="n">
        <x:f>SUM($F$2:F170)</x:f>
        <x:v>3086418250</x:v>
      </x:c>
      <x:c r="H170" s="34" t="n">
        <x:f>G170/'Assumptions'!$B$9/3600</x:f>
        <x:v>105.84424725651577</x:v>
      </x:c>
      <x:c r="I170" s="34" t="n">
        <x:f>G170/'Assumptions'!$B$5/3600</x:f>
        <x:v>63.506548353909466</x:v>
      </x:c>
    </x:row>
    <x:row r="171">
      <x:c r="A171" s="29" t="n">
        <x:v>170</x:v>
      </x:c>
      <x:c r="B171" s="29" t="n">
        <x:f>A171*'Assumptions'!$B$11</x:f>
        <x:v>850</x:v>
      </x:c>
      <x:c r="C171" s="33" t="n">
        <x:f>1+B171/100</x:f>
        <x:v>9.5</x:v>
      </x:c>
      <x:c r="D171" s="33" t="n">
        <x:f>IF(A171&lt;='Assumptions'!$B$10,1,1+('Assumptions'!$B$14-1)*(A171-'Assumptions'!$B$10)/(MAX($A$2:$A$201)-'Assumptions'!$B$10))</x:f>
        <x:v>2.4</x:v>
      </x:c>
      <x:c r="E171" s="29" t="n">
        <x:f>IF(A171&lt;='Assumptions'!$B$10,'Assumptions'!$B$6*A171^2*(1+'Assumptions'!$B$7*(A171/'Assumptions'!$B$10)^'Assumptions'!$B$8),$F$101*(A171/'Assumptions'!$B$10)^'Assumptions'!$B$12*D171)</x:f>
        <x:v>120270239.99999999</x:v>
      </x:c>
      <x:c r="F171" s="29" t="n">
        <x:f>ROUND(E171/'Assumptions'!$B$13,0)*'Assumptions'!$B$13</x:f>
        <x:v>120300000</x:v>
      </x:c>
      <x:c r="G171" s="29" t="n">
        <x:f>SUM($F$2:F171)</x:f>
        <x:v>3206718250</x:v>
      </x:c>
      <x:c r="H171" s="34" t="n">
        <x:f>G171/'Assumptions'!$B$9/3600</x:f>
        <x:v>109.96976165980796</x:v>
      </x:c>
      <x:c r="I171" s="34" t="n">
        <x:f>G171/'Assumptions'!$B$5/3600</x:f>
        <x:v>65.98185699588478</x:v>
      </x:c>
    </x:row>
    <x:row r="172">
      <x:c r="A172" s="29" t="n">
        <x:v>171</x:v>
      </x:c>
      <x:c r="B172" s="29" t="n">
        <x:f>A172*'Assumptions'!$B$11</x:f>
        <x:v>855</x:v>
      </x:c>
      <x:c r="C172" s="33" t="n">
        <x:f>1+B172/100</x:f>
        <x:v>9.55</x:v>
      </x:c>
      <x:c r="D172" s="33" t="n">
        <x:f>IF(A172&lt;='Assumptions'!$B$10,1,1+('Assumptions'!$B$14-1)*(A172-'Assumptions'!$B$10)/(MAX($A$2:$A$201)-'Assumptions'!$B$10))</x:f>
        <x:v>2.42</x:v>
      </x:c>
      <x:c r="E172" s="29" t="n">
        <x:f>IF(A172&lt;='Assumptions'!$B$10,'Assumptions'!$B$6*A172^2*(1+'Assumptions'!$B$7*(A172/'Assumptions'!$B$10)^'Assumptions'!$B$8),$F$101*(A172/'Assumptions'!$B$10)^'Assumptions'!$B$12*D172)</x:f>
        <x:v>124151238.96119998</x:v>
      </x:c>
      <x:c r="F172" s="29" t="n">
        <x:f>ROUND(E172/'Assumptions'!$B$13,0)*'Assumptions'!$B$13</x:f>
        <x:v>124200000</x:v>
      </x:c>
      <x:c r="G172" s="29" t="n">
        <x:f>SUM($F$2:F172)</x:f>
        <x:v>3330918250</x:v>
      </x:c>
      <x:c r="H172" s="34" t="n">
        <x:f>G172/'Assumptions'!$B$9/3600</x:f>
        <x:v>114.22902091906721</x:v>
      </x:c>
      <x:c r="I172" s="34" t="n">
        <x:f>G172/'Assumptions'!$B$5/3600</x:f>
        <x:v>68.53741255144033</x:v>
      </x:c>
    </x:row>
    <x:row r="173">
      <x:c r="A173" s="29" t="n">
        <x:v>172</x:v>
      </x:c>
      <x:c r="B173" s="29" t="n">
        <x:f>A173*'Assumptions'!$B$11</x:f>
        <x:v>860</x:v>
      </x:c>
      <x:c r="C173" s="33" t="n">
        <x:f>1+B173/100</x:f>
        <x:v>9.6</x:v>
      </x:c>
      <x:c r="D173" s="33" t="n">
        <x:f>IF(A173&lt;='Assumptions'!$B$10,1,1+('Assumptions'!$B$14-1)*(A173-'Assumptions'!$B$10)/(MAX($A$2:$A$201)-'Assumptions'!$B$10))</x:f>
        <x:v>2.44</x:v>
      </x:c>
      <x:c r="E173" s="29" t="n">
        <x:f>IF(A173&lt;='Assumptions'!$B$10,'Assumptions'!$B$6*A173^2*(1+'Assumptions'!$B$7*(A173/'Assumptions'!$B$10)^'Assumptions'!$B$8),$F$101*(A173/'Assumptions'!$B$10)^'Assumptions'!$B$12*D173)</x:f>
        <x:v>128131191.3984</x:v>
      </x:c>
      <x:c r="F173" s="29" t="n">
        <x:f>ROUND(E173/'Assumptions'!$B$13,0)*'Assumptions'!$B$13</x:f>
        <x:v>128100000</x:v>
      </x:c>
      <x:c r="G173" s="29" t="n">
        <x:f>SUM($F$2:F173)</x:f>
        <x:v>3459018250</x:v>
      </x:c>
      <x:c r="H173" s="34" t="n">
        <x:f>G173/'Assumptions'!$B$9/3600</x:f>
        <x:v>118.62202503429356</x:v>
      </x:c>
      <x:c r="I173" s="34" t="n">
        <x:f>G173/'Assumptions'!$B$5/3600</x:f>
        <x:v>71.17321502057614</x:v>
      </x:c>
    </x:row>
    <x:row r="174">
      <x:c r="A174" s="29" t="n">
        <x:v>173</x:v>
      </x:c>
      <x:c r="B174" s="29" t="n">
        <x:f>A174*'Assumptions'!$B$11</x:f>
        <x:v>865</x:v>
      </x:c>
      <x:c r="C174" s="33" t="n">
        <x:f>1+B174/100</x:f>
        <x:v>9.65</x:v>
      </x:c>
      <x:c r="D174" s="33" t="n">
        <x:f>IF(A174&lt;='Assumptions'!$B$10,1,1+('Assumptions'!$B$14-1)*(A174-'Assumptions'!$B$10)/(MAX($A$2:$A$201)-'Assumptions'!$B$10))</x:f>
        <x:v>2.46</x:v>
      </x:c>
      <x:c r="E174" s="29" t="n">
        <x:f>IF(A174&lt;='Assumptions'!$B$10,'Assumptions'!$B$6*A174^2*(1+'Assumptions'!$B$7*(A174/'Assumptions'!$B$10)^'Assumptions'!$B$8),$F$101*(A174/'Assumptions'!$B$10)^'Assumptions'!$B$12*D174)</x:f>
        <x:v>132211968.0516</x:v>
      </x:c>
      <x:c r="F174" s="29" t="n">
        <x:f>ROUND(E174/'Assumptions'!$B$13,0)*'Assumptions'!$B$13</x:f>
        <x:v>132200000</x:v>
      </x:c>
      <x:c r="G174" s="29" t="n">
        <x:f>SUM($F$2:F174)</x:f>
        <x:v>3591218250</x:v>
      </x:c>
      <x:c r="H174" s="34" t="n">
        <x:f>G174/'Assumptions'!$B$9/3600</x:f>
        <x:v>123.15563271604938</x:v>
      </x:c>
      <x:c r="I174" s="34" t="n">
        <x:f>G174/'Assumptions'!$B$5/3600</x:f>
        <x:v>73.89337962962964</x:v>
      </x:c>
    </x:row>
    <x:row r="175">
      <x:c r="A175" s="29" t="n">
        <x:v>174</x:v>
      </x:c>
      <x:c r="B175" s="29" t="n">
        <x:f>A175*'Assumptions'!$B$11</x:f>
        <x:v>870</x:v>
      </x:c>
      <x:c r="C175" s="33" t="n">
        <x:f>1+B175/100</x:f>
        <x:v>9.7</x:v>
      </x:c>
      <x:c r="D175" s="33" t="n">
        <x:f>IF(A175&lt;='Assumptions'!$B$10,1,1+('Assumptions'!$B$14-1)*(A175-'Assumptions'!$B$10)/(MAX($A$2:$A$201)-'Assumptions'!$B$10))</x:f>
        <x:v>2.48</x:v>
      </x:c>
      <x:c r="E175" s="29" t="n">
        <x:f>IF(A175&lt;='Assumptions'!$B$10,'Assumptions'!$B$6*A175^2*(1+'Assumptions'!$B$7*(A175/'Assumptions'!$B$10)^'Assumptions'!$B$8),$F$101*(A175/'Assumptions'!$B$10)^'Assumptions'!$B$12*D175)</x:f>
        <x:v>136395462.9888</x:v>
      </x:c>
      <x:c r="F175" s="29" t="n">
        <x:f>ROUND(E175/'Assumptions'!$B$13,0)*'Assumptions'!$B$13</x:f>
        <x:v>136400000</x:v>
      </x:c>
      <x:c r="G175" s="29" t="n">
        <x:f>SUM($F$2:F175)</x:f>
        <x:v>3727618250</x:v>
      </x:c>
      <x:c r="H175" s="34" t="n">
        <x:f>G175/'Assumptions'!$B$9/3600</x:f>
        <x:v>127.83327331961591</x:v>
      </x:c>
      <x:c r="I175" s="34" t="n">
        <x:f>G175/'Assumptions'!$B$5/3600</x:f>
        <x:v>76.69996399176955</x:v>
      </x:c>
    </x:row>
    <x:row r="176">
      <x:c r="A176" s="29" t="n">
        <x:v>175</x:v>
      </x:c>
      <x:c r="B176" s="29" t="n">
        <x:f>A176*'Assumptions'!$B$11</x:f>
        <x:v>875</x:v>
      </x:c>
      <x:c r="C176" s="33" t="n">
        <x:f>1+B176/100</x:f>
        <x:v>9.75</x:v>
      </x:c>
      <x:c r="D176" s="33" t="n">
        <x:f>IF(A176&lt;='Assumptions'!$B$10,1,1+('Assumptions'!$B$14-1)*(A176-'Assumptions'!$B$10)/(MAX($A$2:$A$201)-'Assumptions'!$B$10))</x:f>
        <x:v>2.5</x:v>
      </x:c>
      <x:c r="E176" s="29" t="n">
        <x:f>IF(A176&lt;='Assumptions'!$B$10,'Assumptions'!$B$6*A176^2*(1+'Assumptions'!$B$7*(A176/'Assumptions'!$B$10)^'Assumptions'!$B$8),$F$101*(A176/'Assumptions'!$B$10)^'Assumptions'!$B$12*D176)</x:f>
        <x:v>140683593.75</x:v>
      </x:c>
      <x:c r="F176" s="29" t="n">
        <x:f>ROUND(E176/'Assumptions'!$B$13,0)*'Assumptions'!$B$13</x:f>
        <x:v>140700000</x:v>
      </x:c>
      <x:c r="G176" s="29" t="n">
        <x:f>SUM($F$2:F176)</x:f>
        <x:v>3868318250</x:v>
      </x:c>
      <x:c r="H176" s="34" t="n">
        <x:f>G176/'Assumptions'!$B$9/3600</x:f>
        <x:v>132.65837620027435</x:v>
      </x:c>
      <x:c r="I176" s="34" t="n">
        <x:f>G176/'Assumptions'!$B$5/3600</x:f>
        <x:v>79.5950257201646</x:v>
      </x:c>
    </x:row>
    <x:row r="177">
      <x:c r="A177" s="29" t="n">
        <x:v>176</x:v>
      </x:c>
      <x:c r="B177" s="29" t="n">
        <x:f>A177*'Assumptions'!$B$11</x:f>
        <x:v>880</x:v>
      </x:c>
      <x:c r="C177" s="33" t="n">
        <x:f>1+B177/100</x:f>
        <x:v>9.8</x:v>
      </x:c>
      <x:c r="D177" s="33" t="n">
        <x:f>IF(A177&lt;='Assumptions'!$B$10,1,1+('Assumptions'!$B$14-1)*(A177-'Assumptions'!$B$10)/(MAX($A$2:$A$201)-'Assumptions'!$B$10))</x:f>
        <x:v>2.52</x:v>
      </x:c>
      <x:c r="E177" s="29" t="n">
        <x:f>IF(A177&lt;='Assumptions'!$B$10,'Assumptions'!$B$6*A177^2*(1+'Assumptions'!$B$7*(A177/'Assumptions'!$B$10)^'Assumptions'!$B$8),$F$101*(A177/'Assumptions'!$B$10)^'Assumptions'!$B$12*D177)</x:f>
        <x:v>145078301.4912</x:v>
      </x:c>
      <x:c r="F177" s="29" t="n">
        <x:f>ROUND(E177/'Assumptions'!$B$13,0)*'Assumptions'!$B$13</x:f>
        <x:v>145100000</x:v>
      </x:c>
      <x:c r="G177" s="29" t="n">
        <x:f>SUM($F$2:F177)</x:f>
        <x:v>4013418250</x:v>
      </x:c>
      <x:c r="H177" s="34" t="n">
        <x:f>G177/'Assumptions'!$B$9/3600</x:f>
        <x:v>137.6343707133059</x:v>
      </x:c>
      <x:c r="I177" s="34" t="n">
        <x:f>G177/'Assumptions'!$B$5/3600</x:f>
        <x:v>82.58062242798354</x:v>
      </x:c>
    </x:row>
    <x:row r="178">
      <x:c r="A178" s="29" t="n">
        <x:v>177</x:v>
      </x:c>
      <x:c r="B178" s="29" t="n">
        <x:f>A178*'Assumptions'!$B$11</x:f>
        <x:v>885</x:v>
      </x:c>
      <x:c r="C178" s="33" t="n">
        <x:f>1+B178/100</x:f>
        <x:v>9.85</x:v>
      </x:c>
      <x:c r="D178" s="33" t="n">
        <x:f>IF(A178&lt;='Assumptions'!$B$10,1,1+('Assumptions'!$B$14-1)*(A178-'Assumptions'!$B$10)/(MAX($A$2:$A$201)-'Assumptions'!$B$10))</x:f>
        <x:v>2.54</x:v>
      </x:c>
      <x:c r="E178" s="29" t="n">
        <x:f>IF(A178&lt;='Assumptions'!$B$10,'Assumptions'!$B$6*A178^2*(1+'Assumptions'!$B$7*(A178/'Assumptions'!$B$10)^'Assumptions'!$B$8),$F$101*(A178/'Assumptions'!$B$10)^'Assumptions'!$B$12*D178)</x:f>
        <x:v>149581551.12840003</x:v>
      </x:c>
      <x:c r="F178" s="29" t="n">
        <x:f>ROUND(E178/'Assumptions'!$B$13,0)*'Assumptions'!$B$13</x:f>
        <x:v>149600000</x:v>
      </x:c>
      <x:c r="G178" s="29" t="n">
        <x:f>SUM($F$2:F178)</x:f>
        <x:v>4163018250</x:v>
      </x:c>
      <x:c r="H178" s="34" t="n">
        <x:f>G178/'Assumptions'!$B$9/3600</x:f>
        <x:v>142.76468621399178</x:v>
      </x:c>
      <x:c r="I178" s="34" t="n">
        <x:f>G178/'Assumptions'!$B$5/3600</x:f>
        <x:v>85.65881172839507</x:v>
      </x:c>
    </x:row>
    <x:row r="179">
      <x:c r="A179" s="29" t="n">
        <x:v>178</x:v>
      </x:c>
      <x:c r="B179" s="29" t="n">
        <x:f>A179*'Assumptions'!$B$11</x:f>
        <x:v>890</x:v>
      </x:c>
      <x:c r="C179" s="33" t="n">
        <x:f>1+B179/100</x:f>
        <x:v>9.9</x:v>
      </x:c>
      <x:c r="D179" s="33" t="n">
        <x:f>IF(A179&lt;='Assumptions'!$B$10,1,1+('Assumptions'!$B$14-1)*(A179-'Assumptions'!$B$10)/(MAX($A$2:$A$201)-'Assumptions'!$B$10))</x:f>
        <x:v>2.56</x:v>
      </x:c>
      <x:c r="E179" s="29" t="n">
        <x:f>IF(A179&lt;='Assumptions'!$B$10,'Assumptions'!$B$6*A179^2*(1+'Assumptions'!$B$7*(A179/'Assumptions'!$B$10)^'Assumptions'!$B$8),$F$101*(A179/'Assumptions'!$B$10)^'Assumptions'!$B$12*D179)</x:f>
        <x:v>154195331.48160002</x:v>
      </x:c>
      <x:c r="F179" s="29" t="n">
        <x:f>ROUND(E179/'Assumptions'!$B$13,0)*'Assumptions'!$B$13</x:f>
        <x:v>154200000</x:v>
      </x:c>
      <x:c r="G179" s="29" t="n">
        <x:f>SUM($F$2:F179)</x:f>
        <x:v>4317218250</x:v>
      </x:c>
      <x:c r="H179" s="34" t="n">
        <x:f>G179/'Assumptions'!$B$9/3600</x:f>
        <x:v>148.05275205761316</x:v>
      </x:c>
      <x:c r="I179" s="34" t="n">
        <x:f>G179/'Assumptions'!$B$5/3600</x:f>
        <x:v>88.8316512345679</x:v>
      </x:c>
    </x:row>
    <x:row r="180">
      <x:c r="A180" s="29" t="n">
        <x:v>179</x:v>
      </x:c>
      <x:c r="B180" s="29" t="n">
        <x:f>A180*'Assumptions'!$B$11</x:f>
        <x:v>895</x:v>
      </x:c>
      <x:c r="C180" s="33" t="n">
        <x:f>1+B180/100</x:f>
        <x:v>9.95</x:v>
      </x:c>
      <x:c r="D180" s="33" t="n">
        <x:f>IF(A180&lt;='Assumptions'!$B$10,1,1+('Assumptions'!$B$14-1)*(A180-'Assumptions'!$B$10)/(MAX($A$2:$A$201)-'Assumptions'!$B$10))</x:f>
        <x:v>2.58</x:v>
      </x:c>
      <x:c r="E180" s="29" t="n">
        <x:f>IF(A180&lt;='Assumptions'!$B$10,'Assumptions'!$B$6*A180^2*(1+'Assumptions'!$B$7*(A180/'Assumptions'!$B$10)^'Assumptions'!$B$8),$F$101*(A180/'Assumptions'!$B$10)^'Assumptions'!$B$12*D180)</x:f>
        <x:v>158921655.41880003</x:v>
      </x:c>
      <x:c r="F180" s="29" t="n">
        <x:f>ROUND(E180/'Assumptions'!$B$13,0)*'Assumptions'!$B$13</x:f>
        <x:v>158900000</x:v>
      </x:c>
      <x:c r="G180" s="29" t="n">
        <x:f>SUM($F$2:F180)</x:f>
        <x:v>4476118250</x:v>
      </x:c>
      <x:c r="H180" s="34" t="n">
        <x:f>G180/'Assumptions'!$B$9/3600</x:f>
        <x:v>153.5019975994513</x:v>
      </x:c>
      <x:c r="I180" s="34" t="n">
        <x:f>G180/'Assumptions'!$B$5/3600</x:f>
        <x:v>92.10119855967079</x:v>
      </x:c>
    </x:row>
    <x:row r="181">
      <x:c r="A181" s="29" t="n">
        <x:v>180</x:v>
      </x:c>
      <x:c r="B181" s="29" t="n">
        <x:f>A181*'Assumptions'!$B$11</x:f>
        <x:v>900</x:v>
      </x:c>
      <x:c r="C181" s="33" t="n">
        <x:f>1+B181/100</x:f>
        <x:v>10</x:v>
      </x:c>
      <x:c r="D181" s="33" t="n">
        <x:f>IF(A181&lt;='Assumptions'!$B$10,1,1+('Assumptions'!$B$14-1)*(A181-'Assumptions'!$B$10)/(MAX($A$2:$A$201)-'Assumptions'!$B$10))</x:f>
        <x:v>2.6</x:v>
      </x:c>
      <x:c r="E181" s="29" t="n">
        <x:f>IF(A181&lt;='Assumptions'!$B$10,'Assumptions'!$B$6*A181^2*(1+'Assumptions'!$B$7*(A181/'Assumptions'!$B$10)^'Assumptions'!$B$8),$F$101*(A181/'Assumptions'!$B$10)^'Assumptions'!$B$12*D181)</x:f>
        <x:v>163762560</x:v>
      </x:c>
      <x:c r="F181" s="29" t="n">
        <x:f>ROUND(E181/'Assumptions'!$B$13,0)*'Assumptions'!$B$13</x:f>
        <x:v>163800000</x:v>
      </x:c>
      <x:c r="G181" s="29" t="n">
        <x:f>SUM($F$2:F181)</x:f>
        <x:v>4639918250</x:v>
      </x:c>
      <x:c r="H181" s="34" t="n">
        <x:f>G181/'Assumptions'!$B$9/3600</x:f>
        <x:v>159.1192815500686</x:v>
      </x:c>
      <x:c r="I181" s="34" t="n">
        <x:f>G181/'Assumptions'!$B$5/3600</x:f>
        <x:v>95.47156893004116</x:v>
      </x:c>
    </x:row>
    <x:row r="182">
      <x:c r="A182" s="29" t="n">
        <x:v>181</x:v>
      </x:c>
      <x:c r="B182" s="29" t="n">
        <x:f>A182*'Assumptions'!$B$11</x:f>
        <x:v>905</x:v>
      </x:c>
      <x:c r="C182" s="33" t="n">
        <x:f>1+B182/100</x:f>
        <x:v>10.05</x:v>
      </x:c>
      <x:c r="D182" s="33" t="n">
        <x:f>IF(A182&lt;='Assumptions'!$B$10,1,1+('Assumptions'!$B$14-1)*(A182-'Assumptions'!$B$10)/(MAX($A$2:$A$201)-'Assumptions'!$B$10))</x:f>
        <x:v>2.62</x:v>
      </x:c>
      <x:c r="E182" s="29" t="n">
        <x:f>IF(A182&lt;='Assumptions'!$B$10,'Assumptions'!$B$6*A182^2*(1+'Assumptions'!$B$7*(A182/'Assumptions'!$B$10)^'Assumptions'!$B$8),$F$101*(A182/'Assumptions'!$B$10)^'Assumptions'!$B$12*D182)</x:f>
        <x:v>168720106.62120003</x:v>
      </x:c>
      <x:c r="F182" s="29" t="n">
        <x:f>ROUND(E182/'Assumptions'!$B$13,0)*'Assumptions'!$B$13</x:f>
        <x:v>168700000</x:v>
      </x:c>
      <x:c r="G182" s="29" t="n">
        <x:f>SUM($F$2:F182)</x:f>
        <x:v>4808618250</x:v>
      </x:c>
      <x:c r="H182" s="34" t="n">
        <x:f>G182/'Assumptions'!$B$9/3600</x:f>
        <x:v>164.904603909465</x:v>
      </x:c>
      <x:c r="I182" s="34" t="n">
        <x:f>G182/'Assumptions'!$B$5/3600</x:f>
        <x:v>98.94276234567901</x:v>
      </x:c>
    </x:row>
    <x:row r="183">
      <x:c r="A183" s="29" t="n">
        <x:v>182</x:v>
      </x:c>
      <x:c r="B183" s="29" t="n">
        <x:f>A183*'Assumptions'!$B$11</x:f>
        <x:v>910</x:v>
      </x:c>
      <x:c r="C183" s="33" t="n">
        <x:f>1+B183/100</x:f>
        <x:v>10.1</x:v>
      </x:c>
      <x:c r="D183" s="33" t="n">
        <x:f>IF(A183&lt;='Assumptions'!$B$10,1,1+('Assumptions'!$B$14-1)*(A183-'Assumptions'!$B$10)/(MAX($A$2:$A$201)-'Assumptions'!$B$10))</x:f>
        <x:v>2.6399999999999997</x:v>
      </x:c>
      <x:c r="E183" s="29" t="n">
        <x:f>IF(A183&lt;='Assumptions'!$B$10,'Assumptions'!$B$6*A183^2*(1+'Assumptions'!$B$7*(A183/'Assumptions'!$B$10)^'Assumptions'!$B$8),$F$101*(A183/'Assumptions'!$B$10)^'Assumptions'!$B$12*D183)</x:f>
        <x:v>173796381.1584</x:v>
      </x:c>
      <x:c r="F183" s="29" t="n">
        <x:f>ROUND(E183/'Assumptions'!$B$13,0)*'Assumptions'!$B$13</x:f>
        <x:v>173800000</x:v>
      </x:c>
      <x:c r="G183" s="29" t="n">
        <x:f>SUM($F$2:F183)</x:f>
        <x:v>4982418250</x:v>
      </x:c>
      <x:c r="H183" s="34" t="n">
        <x:f>G183/'Assumptions'!$B$9/3600</x:f>
        <x:v>170.86482338820304</x:v>
      </x:c>
      <x:c r="I183" s="34" t="n">
        <x:f>G183/'Assumptions'!$B$5/3600</x:f>
        <x:v>102.51889403292182</x:v>
      </x:c>
    </x:row>
    <x:row r="184">
      <x:c r="A184" s="29" t="n">
        <x:v>183</x:v>
      </x:c>
      <x:c r="B184" s="29" t="n">
        <x:f>A184*'Assumptions'!$B$11</x:f>
        <x:v>915</x:v>
      </x:c>
      <x:c r="C184" s="33" t="n">
        <x:f>1+B184/100</x:f>
        <x:v>10.15</x:v>
      </x:c>
      <x:c r="D184" s="33" t="n">
        <x:f>IF(A184&lt;='Assumptions'!$B$10,1,1+('Assumptions'!$B$14-1)*(A184-'Assumptions'!$B$10)/(MAX($A$2:$A$201)-'Assumptions'!$B$10))</x:f>
        <x:v>2.66</x:v>
      </x:c>
      <x:c r="E184" s="29" t="n">
        <x:f>IF(A184&lt;='Assumptions'!$B$10,'Assumptions'!$B$6*A184^2*(1+'Assumptions'!$B$7*(A184/'Assumptions'!$B$10)^'Assumptions'!$B$8),$F$101*(A184/'Assumptions'!$B$10)^'Assumptions'!$B$12*D184)</x:f>
        <x:v>178993494.1116</x:v>
      </x:c>
      <x:c r="F184" s="29" t="n">
        <x:f>ROUND(E184/'Assumptions'!$B$13,0)*'Assumptions'!$B$13</x:f>
        <x:v>179000000</x:v>
      </x:c>
      <x:c r="G184" s="29" t="n">
        <x:f>SUM($F$2:F184)</x:f>
        <x:v>5161418250</x:v>
      </x:c>
      <x:c r="H184" s="34" t="n">
        <x:f>G184/'Assumptions'!$B$9/3600</x:f>
        <x:v>177.0033693415638</x:v>
      </x:c>
      <x:c r="I184" s="34" t="n">
        <x:f>G184/'Assumptions'!$B$5/3600</x:f>
        <x:v>106.20202160493827</x:v>
      </x:c>
    </x:row>
    <x:row r="185">
      <x:c r="A185" s="29" t="n">
        <x:v>184</x:v>
      </x:c>
      <x:c r="B185" s="29" t="n">
        <x:f>A185*'Assumptions'!$B$11</x:f>
        <x:v>920</x:v>
      </x:c>
      <x:c r="C185" s="33" t="n">
        <x:f>1+B185/100</x:f>
        <x:v>10.2</x:v>
      </x:c>
      <x:c r="D185" s="33" t="n">
        <x:f>IF(A185&lt;='Assumptions'!$B$10,1,1+('Assumptions'!$B$14-1)*(A185-'Assumptions'!$B$10)/(MAX($A$2:$A$201)-'Assumptions'!$B$10))</x:f>
        <x:v>2.6799999999999997</x:v>
      </x:c>
      <x:c r="E185" s="29" t="n">
        <x:f>IF(A185&lt;='Assumptions'!$B$10,'Assumptions'!$B$6*A185^2*(1+'Assumptions'!$B$7*(A185/'Assumptions'!$B$10)^'Assumptions'!$B$8),$F$101*(A185/'Assumptions'!$B$10)^'Assumptions'!$B$12*D185)</x:f>
        <x:v>184313580.7488</x:v>
      </x:c>
      <x:c r="F185" s="29" t="n">
        <x:f>ROUND(E185/'Assumptions'!$B$13,0)*'Assumptions'!$B$13</x:f>
        <x:v>184300000</x:v>
      </x:c>
      <x:c r="G185" s="29" t="n">
        <x:f>SUM($F$2:F185)</x:f>
        <x:v>5345718250</x:v>
      </x:c>
      <x:c r="H185" s="34" t="n">
        <x:f>G185/'Assumptions'!$B$9/3600</x:f>
        <x:v>183.32367112482854</x:v>
      </x:c>
      <x:c r="I185" s="34" t="n">
        <x:f>G185/'Assumptions'!$B$5/3600</x:f>
        <x:v>109.99420267489711</x:v>
      </x:c>
    </x:row>
    <x:row r="186">
      <x:c r="A186" s="29" t="n">
        <x:v>185</x:v>
      </x:c>
      <x:c r="B186" s="29" t="n">
        <x:f>A186*'Assumptions'!$B$11</x:f>
        <x:v>925</x:v>
      </x:c>
      <x:c r="C186" s="33" t="n">
        <x:f>1+B186/100</x:f>
        <x:v>10.25</x:v>
      </x:c>
      <x:c r="D186" s="33" t="n">
        <x:f>IF(A186&lt;='Assumptions'!$B$10,1,1+('Assumptions'!$B$14-1)*(A186-'Assumptions'!$B$10)/(MAX($A$2:$A$201)-'Assumptions'!$B$10))</x:f>
        <x:v>2.7</x:v>
      </x:c>
      <x:c r="E186" s="29" t="n">
        <x:f>IF(A186&lt;='Assumptions'!$B$10,'Assumptions'!$B$6*A186^2*(1+'Assumptions'!$B$7*(A186/'Assumptions'!$B$10)^'Assumptions'!$B$8),$F$101*(A186/'Assumptions'!$B$10)^'Assumptions'!$B$12*D186)</x:f>
        <x:v>189758801.25000006</x:v>
      </x:c>
      <x:c r="F186" s="29" t="n">
        <x:f>ROUND(E186/'Assumptions'!$B$13,0)*'Assumptions'!$B$13</x:f>
        <x:v>189800000</x:v>
      </x:c>
      <x:c r="G186" s="29" t="n">
        <x:f>SUM($F$2:F186)</x:f>
        <x:v>5535518250</x:v>
      </x:c>
      <x:c r="H186" s="34" t="n">
        <x:f>G186/'Assumptions'!$B$9/3600</x:f>
        <x:v>189.83258744855968</x:v>
      </x:c>
      <x:c r="I186" s="34" t="n">
        <x:f>G186/'Assumptions'!$B$5/3600</x:f>
        <x:v>113.8995524691358</x:v>
      </x:c>
    </x:row>
    <x:row r="187">
      <x:c r="A187" s="29" t="n">
        <x:v>186</x:v>
      </x:c>
      <x:c r="B187" s="29" t="n">
        <x:f>A187*'Assumptions'!$B$11</x:f>
        <x:v>930</x:v>
      </x:c>
      <x:c r="C187" s="33" t="n">
        <x:f>1+B187/100</x:f>
        <x:v>10.3</x:v>
      </x:c>
      <x:c r="D187" s="33" t="n">
        <x:f>IF(A187&lt;='Assumptions'!$B$10,1,1+('Assumptions'!$B$14-1)*(A187-'Assumptions'!$B$10)/(MAX($A$2:$A$201)-'Assumptions'!$B$10))</x:f>
        <x:v>2.7199999999999998</x:v>
      </x:c>
      <x:c r="E187" s="29" t="n">
        <x:f>IF(A187&lt;='Assumptions'!$B$10,'Assumptions'!$B$6*A187^2*(1+'Assumptions'!$B$7*(A187/'Assumptions'!$B$10)^'Assumptions'!$B$8),$F$101*(A187/'Assumptions'!$B$10)^'Assumptions'!$B$12*D187)</x:f>
        <x:v>195331340.85120004</x:v>
      </x:c>
      <x:c r="F187" s="29" t="n">
        <x:f>ROUND(E187/'Assumptions'!$B$13,0)*'Assumptions'!$B$13</x:f>
        <x:v>195300000</x:v>
      </x:c>
      <x:c r="G187" s="29" t="n">
        <x:f>SUM($F$2:F187)</x:f>
        <x:v>5730818250</x:v>
      </x:c>
      <x:c r="H187" s="34" t="n">
        <x:f>G187/'Assumptions'!$B$9/3600</x:f>
        <x:v>196.5301183127572</x:v>
      </x:c>
      <x:c r="I187" s="34" t="n">
        <x:f>G187/'Assumptions'!$B$5/3600</x:f>
        <x:v>117.91807098765432</x:v>
      </x:c>
    </x:row>
    <x:row r="188">
      <x:c r="A188" s="29" t="n">
        <x:v>187</x:v>
      </x:c>
      <x:c r="B188" s="29" t="n">
        <x:f>A188*'Assumptions'!$B$11</x:f>
        <x:v>935</x:v>
      </x:c>
      <x:c r="C188" s="33" t="n">
        <x:f>1+B188/100</x:f>
        <x:v>10.35</x:v>
      </x:c>
      <x:c r="D188" s="33" t="n">
        <x:f>IF(A188&lt;='Assumptions'!$B$10,1,1+('Assumptions'!$B$14-1)*(A188-'Assumptions'!$B$10)/(MAX($A$2:$A$201)-'Assumptions'!$B$10))</x:f>
        <x:v>2.74</x:v>
      </x:c>
      <x:c r="E188" s="29" t="n">
        <x:f>IF(A188&lt;='Assumptions'!$B$10,'Assumptions'!$B$6*A188^2*(1+'Assumptions'!$B$7*(A188/'Assumptions'!$B$10)^'Assumptions'!$B$8),$F$101*(A188/'Assumptions'!$B$10)^'Assumptions'!$B$12*D188)</x:f>
        <x:v>201033409.98840004</x:v>
      </x:c>
      <x:c r="F188" s="29" t="n">
        <x:f>ROUND(E188/'Assumptions'!$B$13,0)*'Assumptions'!$B$13</x:f>
        <x:v>201000000</x:v>
      </x:c>
      <x:c r="G188" s="29" t="n">
        <x:f>SUM($F$2:F188)</x:f>
        <x:v>5931818250</x:v>
      </x:c>
      <x:c r="H188" s="34" t="n">
        <x:f>G188/'Assumptions'!$B$9/3600</x:f>
        <x:v>203.42312242798354</x:v>
      </x:c>
      <x:c r="I188" s="34" t="n">
        <x:f>G188/'Assumptions'!$B$5/3600</x:f>
        <x:v>122.05387345679013</x:v>
      </x:c>
    </x:row>
    <x:row r="189">
      <x:c r="A189" s="29" t="n">
        <x:v>188</x:v>
      </x:c>
      <x:c r="B189" s="29" t="n">
        <x:f>A189*'Assumptions'!$B$11</x:f>
        <x:v>940</x:v>
      </x:c>
      <x:c r="C189" s="33" t="n">
        <x:f>1+B189/100</x:f>
        <x:v>10.4</x:v>
      </x:c>
      <x:c r="D189" s="33" t="n">
        <x:f>IF(A189&lt;='Assumptions'!$B$10,1,1+('Assumptions'!$B$14-1)*(A189-'Assumptions'!$B$10)/(MAX($A$2:$A$201)-'Assumptions'!$B$10))</x:f>
        <x:v>2.76</x:v>
      </x:c>
      <x:c r="E189" s="29" t="n">
        <x:f>IF(A189&lt;='Assumptions'!$B$10,'Assumptions'!$B$6*A189^2*(1+'Assumptions'!$B$7*(A189/'Assumptions'!$B$10)^'Assumptions'!$B$8),$F$101*(A189/'Assumptions'!$B$10)^'Assumptions'!$B$12*D189)</x:f>
        <x:v>206867244.44159994</x:v>
      </x:c>
      <x:c r="F189" s="29" t="n">
        <x:f>ROUND(E189/'Assumptions'!$B$13,0)*'Assumptions'!$B$13</x:f>
        <x:v>206900000</x:v>
      </x:c>
      <x:c r="G189" s="29" t="n">
        <x:f>SUM($F$2:F189)</x:f>
        <x:v>6138718250</x:v>
      </x:c>
      <x:c r="H189" s="34" t="n">
        <x:f>G189/'Assumptions'!$B$9/3600</x:f>
        <x:v>210.5184585048011</x:v>
      </x:c>
      <x:c r="I189" s="34" t="n">
        <x:f>G189/'Assumptions'!$B$5/3600</x:f>
        <x:v>126.31107510288066</x:v>
      </x:c>
    </x:row>
    <x:row r="190">
      <x:c r="A190" s="29" t="n">
        <x:v>189</x:v>
      </x:c>
      <x:c r="B190" s="29" t="n">
        <x:f>A190*'Assumptions'!$B$11</x:f>
        <x:v>945</x:v>
      </x:c>
      <x:c r="C190" s="33" t="n">
        <x:f>1+B190/100</x:f>
        <x:v>10.45</x:v>
      </x:c>
      <x:c r="D190" s="33" t="n">
        <x:f>IF(A190&lt;='Assumptions'!$B$10,1,1+('Assumptions'!$B$14-1)*(A190-'Assumptions'!$B$10)/(MAX($A$2:$A$201)-'Assumptions'!$B$10))</x:f>
        <x:v>2.7800000000000002</x:v>
      </x:c>
      <x:c r="E190" s="29" t="n">
        <x:f>IF(A190&lt;='Assumptions'!$B$10,'Assumptions'!$B$6*A190^2*(1+'Assumptions'!$B$7*(A190/'Assumptions'!$B$10)^'Assumptions'!$B$8),$F$101*(A190/'Assumptions'!$B$10)^'Assumptions'!$B$12*D190)</x:f>
        <x:v>212835105.4788</x:v>
      </x:c>
      <x:c r="F190" s="29" t="n">
        <x:f>ROUND(E190/'Assumptions'!$B$13,0)*'Assumptions'!$B$13</x:f>
        <x:v>212800000</x:v>
      </x:c>
      <x:c r="G190" s="29" t="n">
        <x:f>SUM($F$2:F190)</x:f>
        <x:v>6351518250</x:v>
      </x:c>
      <x:c r="H190" s="34" t="n">
        <x:f>G190/'Assumptions'!$B$9/3600</x:f>
        <x:v>217.81612654320986</x:v>
      </x:c>
      <x:c r="I190" s="34" t="n">
        <x:f>G190/'Assumptions'!$B$5/3600</x:f>
        <x:v>130.6896759259259</x:v>
      </x:c>
    </x:row>
    <x:row r="191">
      <x:c r="A191" s="29" t="n">
        <x:v>190</x:v>
      </x:c>
      <x:c r="B191" s="29" t="n">
        <x:f>A191*'Assumptions'!$B$11</x:f>
        <x:v>950</x:v>
      </x:c>
      <x:c r="C191" s="33" t="n">
        <x:f>1+B191/100</x:f>
        <x:v>10.5</x:v>
      </x:c>
      <x:c r="D191" s="33" t="n">
        <x:f>IF(A191&lt;='Assumptions'!$B$10,1,1+('Assumptions'!$B$14-1)*(A191-'Assumptions'!$B$10)/(MAX($A$2:$A$201)-'Assumptions'!$B$10))</x:f>
        <x:v>2.8</x:v>
      </x:c>
      <x:c r="E191" s="29" t="n">
        <x:f>IF(A191&lt;='Assumptions'!$B$10,'Assumptions'!$B$6*A191^2*(1+'Assumptions'!$B$7*(A191/'Assumptions'!$B$10)^'Assumptions'!$B$8),$F$101*(A191/'Assumptions'!$B$10)^'Assumptions'!$B$12*D191)</x:f>
        <x:v>218939279.99999994</x:v>
      </x:c>
      <x:c r="F191" s="29" t="n">
        <x:f>ROUND(E191/'Assumptions'!$B$13,0)*'Assumptions'!$B$13</x:f>
        <x:v>218900000</x:v>
      </x:c>
      <x:c r="G191" s="29" t="n">
        <x:f>SUM($F$2:F191)</x:f>
        <x:v>6570418250</x:v>
      </x:c>
      <x:c r="H191" s="34" t="n">
        <x:f>G191/'Assumptions'!$B$9/3600</x:f>
        <x:v>225.3229852537723</x:v>
      </x:c>
      <x:c r="I191" s="34" t="n">
        <x:f>G191/'Assumptions'!$B$5/3600</x:f>
        <x:v>135.19379115226337</x:v>
      </x:c>
    </x:row>
    <x:row r="192">
      <x:c r="A192" s="29" t="n">
        <x:v>191</x:v>
      </x:c>
      <x:c r="B192" s="29" t="n">
        <x:f>A192*'Assumptions'!$B$11</x:f>
        <x:v>955</x:v>
      </x:c>
      <x:c r="C192" s="33" t="n">
        <x:f>1+B192/100</x:f>
        <x:v>10.55</x:v>
      </x:c>
      <x:c r="D192" s="33" t="n">
        <x:f>IF(A192&lt;='Assumptions'!$B$10,1,1+('Assumptions'!$B$14-1)*(A192-'Assumptions'!$B$10)/(MAX($A$2:$A$201)-'Assumptions'!$B$10))</x:f>
        <x:v>2.8200000000000003</x:v>
      </x:c>
      <x:c r="E192" s="29" t="n">
        <x:f>IF(A192&lt;='Assumptions'!$B$10,'Assumptions'!$B$6*A192^2*(1+'Assumptions'!$B$7*(A192/'Assumptions'!$B$10)^'Assumptions'!$B$8),$F$101*(A192/'Assumptions'!$B$10)^'Assumptions'!$B$12*D192)</x:f>
        <x:v>225182080.68119997</x:v>
      </x:c>
      <x:c r="F192" s="29" t="n">
        <x:f>ROUND(E192/'Assumptions'!$B$13,0)*'Assumptions'!$B$13</x:f>
        <x:v>225200000</x:v>
      </x:c>
      <x:c r="G192" s="29" t="n">
        <x:f>SUM($F$2:F192)</x:f>
        <x:v>6795618250</x:v>
      </x:c>
      <x:c r="H192" s="34" t="n">
        <x:f>G192/'Assumptions'!$B$9/3600</x:f>
        <x:v>233.04589334705074</x:v>
      </x:c>
      <x:c r="I192" s="34" t="n">
        <x:f>G192/'Assumptions'!$B$5/3600</x:f>
        <x:v>139.82753600823045</x:v>
      </x:c>
    </x:row>
    <x:row r="193">
      <x:c r="A193" s="29" t="n">
        <x:v>192</x:v>
      </x:c>
      <x:c r="B193" s="29" t="n">
        <x:f>A193*'Assumptions'!$B$11</x:f>
        <x:v>960</x:v>
      </x:c>
      <x:c r="C193" s="33" t="n">
        <x:f>1+B193/100</x:f>
        <x:v>10.6</x:v>
      </x:c>
      <x:c r="D193" s="33" t="n">
        <x:f>IF(A193&lt;='Assumptions'!$B$10,1,1+('Assumptions'!$B$14-1)*(A193-'Assumptions'!$B$10)/(MAX($A$2:$A$201)-'Assumptions'!$B$10))</x:f>
        <x:v>2.84</x:v>
      </x:c>
      <x:c r="E193" s="29" t="n">
        <x:f>IF(A193&lt;='Assumptions'!$B$10,'Assumptions'!$B$6*A193^2*(1+'Assumptions'!$B$7*(A193/'Assumptions'!$B$10)^'Assumptions'!$B$8),$F$101*(A193/'Assumptions'!$B$10)^'Assumptions'!$B$12*D193)</x:f>
        <x:v>231565846.11839995</x:v>
      </x:c>
      <x:c r="F193" s="29" t="n">
        <x:f>ROUND(E193/'Assumptions'!$B$13,0)*'Assumptions'!$B$13</x:f>
        <x:v>231600000</x:v>
      </x:c>
      <x:c r="G193" s="29" t="n">
        <x:f>SUM($F$2:F193)</x:f>
        <x:v>7027218250</x:v>
      </x:c>
      <x:c r="H193" s="34" t="n">
        <x:f>G193/'Assumptions'!$B$9/3600</x:f>
        <x:v>240.98828017832648</x:v>
      </x:c>
      <x:c r="I193" s="34" t="n">
        <x:f>G193/'Assumptions'!$B$5/3600</x:f>
        <x:v>144.59296810699587</x:v>
      </x:c>
    </x:row>
    <x:row r="194">
      <x:c r="A194" s="29" t="n">
        <x:v>193</x:v>
      </x:c>
      <x:c r="B194" s="29" t="n">
        <x:f>A194*'Assumptions'!$B$11</x:f>
        <x:v>965</x:v>
      </x:c>
      <x:c r="C194" s="33" t="n">
        <x:f>1+B194/100</x:f>
        <x:v>10.65</x:v>
      </x:c>
      <x:c r="D194" s="33" t="n">
        <x:f>IF(A194&lt;='Assumptions'!$B$10,1,1+('Assumptions'!$B$14-1)*(A194-'Assumptions'!$B$10)/(MAX($A$2:$A$201)-'Assumptions'!$B$10))</x:f>
        <x:v>2.8600000000000003</x:v>
      </x:c>
      <x:c r="E194" s="29" t="n">
        <x:f>IF(A194&lt;='Assumptions'!$B$10,'Assumptions'!$B$6*A194^2*(1+'Assumptions'!$B$7*(A194/'Assumptions'!$B$10)^'Assumptions'!$B$8),$F$101*(A194/'Assumptions'!$B$10)^'Assumptions'!$B$12*D194)</x:f>
        <x:v>238092940.9716</x:v>
      </x:c>
      <x:c r="F194" s="29" t="n">
        <x:f>ROUND(E194/'Assumptions'!$B$13,0)*'Assumptions'!$B$13</x:f>
        <x:v>238100000</x:v>
      </x:c>
      <x:c r="G194" s="29" t="n">
        <x:f>SUM($F$2:F194)</x:f>
        <x:v>7265318250</x:v>
      </x:c>
      <x:c r="H194" s="34" t="n">
        <x:f>G194/'Assumptions'!$B$9/3600</x:f>
        <x:v>249.15357510288064</x:v>
      </x:c>
      <x:c r="I194" s="34" t="n">
        <x:f>G194/'Assumptions'!$B$5/3600</x:f>
        <x:v>149.4921450617284</x:v>
      </x:c>
    </x:row>
    <x:row r="195">
      <x:c r="A195" s="29" t="n">
        <x:v>194</x:v>
      </x:c>
      <x:c r="B195" s="29" t="n">
        <x:f>A195*'Assumptions'!$B$11</x:f>
        <x:v>970</x:v>
      </x:c>
      <x:c r="C195" s="33" t="n">
        <x:f>1+B195/100</x:f>
        <x:v>10.7</x:v>
      </x:c>
      <x:c r="D195" s="33" t="n">
        <x:f>IF(A195&lt;='Assumptions'!$B$10,1,1+('Assumptions'!$B$14-1)*(A195-'Assumptions'!$B$10)/(MAX($A$2:$A$201)-'Assumptions'!$B$10))</x:f>
        <x:v>2.88</x:v>
      </x:c>
      <x:c r="E195" s="29" t="n">
        <x:f>IF(A195&lt;='Assumptions'!$B$10,'Assumptions'!$B$6*A195^2*(1+'Assumptions'!$B$7*(A195/'Assumptions'!$B$10)^'Assumptions'!$B$8),$F$101*(A195/'Assumptions'!$B$10)^'Assumptions'!$B$12*D195)</x:f>
        <x:v>244765756.10879996</x:v>
      </x:c>
      <x:c r="F195" s="29" t="n">
        <x:f>ROUND(E195/'Assumptions'!$B$13,0)*'Assumptions'!$B$13</x:f>
        <x:v>244800000</x:v>
      </x:c>
      <x:c r="G195" s="29" t="n">
        <x:f>SUM($F$2:F195)</x:f>
        <x:v>7510118250</x:v>
      </x:c>
      <x:c r="H195" s="34" t="n">
        <x:f>G195/'Assumptions'!$B$9/3600</x:f>
        <x:v>257.5486368312757</x:v>
      </x:c>
      <x:c r="I195" s="34" t="n">
        <x:f>G195/'Assumptions'!$B$5/3600</x:f>
        <x:v>154.52918209876543</x:v>
      </x:c>
    </x:row>
    <x:row r="196">
      <x:c r="A196" s="29" t="n">
        <x:v>195</x:v>
      </x:c>
      <x:c r="B196" s="29" t="n">
        <x:f>A196*'Assumptions'!$B$11</x:f>
        <x:v>975</x:v>
      </x:c>
      <x:c r="C196" s="33" t="n">
        <x:f>1+B196/100</x:f>
        <x:v>10.75</x:v>
      </x:c>
      <x:c r="D196" s="33" t="n">
        <x:f>IF(A196&lt;='Assumptions'!$B$10,1,1+('Assumptions'!$B$14-1)*(A196-'Assumptions'!$B$10)/(MAX($A$2:$A$201)-'Assumptions'!$B$10))</x:f>
        <x:v>2.9</x:v>
      </x:c>
      <x:c r="E196" s="29" t="n">
        <x:f>IF(A196&lt;='Assumptions'!$B$10,'Assumptions'!$B$6*A196^2*(1+'Assumptions'!$B$7*(A196/'Assumptions'!$B$10)^'Assumptions'!$B$8),$F$101*(A196/'Assumptions'!$B$10)^'Assumptions'!$B$12*D196)</x:f>
        <x:v>251586708.74999994</x:v>
      </x:c>
      <x:c r="F196" s="29" t="n">
        <x:f>ROUND(E196/'Assumptions'!$B$13,0)*'Assumptions'!$B$13</x:f>
        <x:v>251600000</x:v>
      </x:c>
      <x:c r="G196" s="29" t="n">
        <x:f>SUM($F$2:F196)</x:f>
        <x:v>7761718250</x:v>
      </x:c>
      <x:c r="H196" s="34" t="n">
        <x:f>G196/'Assumptions'!$B$9/3600</x:f>
        <x:v>266.1768947187929</x:v>
      </x:c>
      <x:c r="I196" s="34" t="n">
        <x:f>G196/'Assumptions'!$B$5/3600</x:f>
        <x:v>159.70613683127573</x:v>
      </x:c>
    </x:row>
    <x:row r="197">
      <x:c r="A197" s="29" t="n">
        <x:v>196</x:v>
      </x:c>
      <x:c r="B197" s="29" t="n">
        <x:f>A197*'Assumptions'!$B$11</x:f>
        <x:v>980</x:v>
      </x:c>
      <x:c r="C197" s="33" t="n">
        <x:f>1+B197/100</x:f>
        <x:v>10.8</x:v>
      </x:c>
      <x:c r="D197" s="33" t="n">
        <x:f>IF(A197&lt;='Assumptions'!$B$10,1,1+('Assumptions'!$B$14-1)*(A197-'Assumptions'!$B$10)/(MAX($A$2:$A$201)-'Assumptions'!$B$10))</x:f>
        <x:v>2.92</x:v>
      </x:c>
      <x:c r="E197" s="29" t="n">
        <x:f>IF(A197&lt;='Assumptions'!$B$10,'Assumptions'!$B$6*A197^2*(1+'Assumptions'!$B$7*(A197/'Assumptions'!$B$10)^'Assumptions'!$B$8),$F$101*(A197/'Assumptions'!$B$10)^'Assumptions'!$B$12*D197)</x:f>
        <x:v>258558242.61119995</x:v>
      </x:c>
      <x:c r="F197" s="29" t="n">
        <x:f>ROUND(E197/'Assumptions'!$B$13,0)*'Assumptions'!$B$13</x:f>
        <x:v>258600000</x:v>
      </x:c>
      <x:c r="G197" s="29" t="n">
        <x:f>SUM($F$2:F197)</x:f>
        <x:v>8020318250</x:v>
      </x:c>
      <x:c r="H197" s="34" t="n">
        <x:f>G197/'Assumptions'!$B$9/3600</x:f>
        <x:v>275.0452074759945</x:v>
      </x:c>
      <x:c r="I197" s="34" t="n">
        <x:f>G197/'Assumptions'!$B$5/3600</x:f>
        <x:v>165.02712448559672</x:v>
      </x:c>
    </x:row>
    <x:row r="198">
      <x:c r="A198" s="29" t="n">
        <x:v>197</x:v>
      </x:c>
      <x:c r="B198" s="29" t="n">
        <x:f>A198*'Assumptions'!$B$11</x:f>
        <x:v>985</x:v>
      </x:c>
      <x:c r="C198" s="33" t="n">
        <x:f>1+B198/100</x:f>
        <x:v>10.85</x:v>
      </x:c>
      <x:c r="D198" s="33" t="n">
        <x:f>IF(A198&lt;='Assumptions'!$B$10,1,1+('Assumptions'!$B$14-1)*(A198-'Assumptions'!$B$10)/(MAX($A$2:$A$201)-'Assumptions'!$B$10))</x:f>
        <x:v>2.94</x:v>
      </x:c>
      <x:c r="E198" s="29" t="n">
        <x:f>IF(A198&lt;='Assumptions'!$B$10,'Assumptions'!$B$6*A198^2*(1+'Assumptions'!$B$7*(A198/'Assumptions'!$B$10)^'Assumptions'!$B$8),$F$101*(A198/'Assumptions'!$B$10)^'Assumptions'!$B$12*D198)</x:f>
        <x:v>265682828.04839998</x:v>
      </x:c>
      <x:c r="F198" s="29" t="n">
        <x:f>ROUND(E198/'Assumptions'!$B$13,0)*'Assumptions'!$B$13</x:f>
        <x:v>265700000</x:v>
      </x:c>
      <x:c r="G198" s="29" t="n">
        <x:f>SUM($F$2:F198)</x:f>
        <x:v>8286018250</x:v>
      </x:c>
      <x:c r="H198" s="34" t="n">
        <x:f>G198/'Assumptions'!$B$9/3600</x:f>
        <x:v>284.15700445816185</x:v>
      </x:c>
      <x:c r="I198" s="34" t="n">
        <x:f>G198/'Assumptions'!$B$5/3600</x:f>
        <x:v>170.49420267489714</x:v>
      </x:c>
    </x:row>
    <x:row r="199">
      <x:c r="A199" s="29" t="n">
        <x:v>198</x:v>
      </x:c>
      <x:c r="B199" s="29" t="n">
        <x:f>A199*'Assumptions'!$B$11</x:f>
        <x:v>990</x:v>
      </x:c>
      <x:c r="C199" s="33" t="n">
        <x:f>1+B199/100</x:f>
        <x:v>10.9</x:v>
      </x:c>
      <x:c r="D199" s="33" t="n">
        <x:f>IF(A199&lt;='Assumptions'!$B$10,1,1+('Assumptions'!$B$14-1)*(A199-'Assumptions'!$B$10)/(MAX($A$2:$A$201)-'Assumptions'!$B$10))</x:f>
        <x:v>2.96</x:v>
      </x:c>
      <x:c r="E199" s="29" t="n">
        <x:f>IF(A199&lt;='Assumptions'!$B$10,'Assumptions'!$B$6*A199^2*(1+'Assumptions'!$B$7*(A199/'Assumptions'!$B$10)^'Assumptions'!$B$8),$F$101*(A199/'Assumptions'!$B$10)^'Assumptions'!$B$12*D199)</x:f>
        <x:v>272962962.20159996</x:v>
      </x:c>
      <x:c r="F199" s="29" t="n">
        <x:f>ROUND(E199/'Assumptions'!$B$13,0)*'Assumptions'!$B$13</x:f>
        <x:v>273000000</x:v>
      </x:c>
      <x:c r="G199" s="29" t="n">
        <x:f>SUM($F$2:F199)</x:f>
        <x:v>8559018250</x:v>
      </x:c>
      <x:c r="H199" s="34" t="n">
        <x:f>G199/'Assumptions'!$B$9/3600</x:f>
        <x:v>293.51914437585737</x:v>
      </x:c>
      <x:c r="I199" s="34" t="n">
        <x:f>G199/'Assumptions'!$B$5/3600</x:f>
        <x:v>176.11148662551437</x:v>
      </x:c>
    </x:row>
    <x:row r="200">
      <x:c r="A200" s="29" t="n">
        <x:v>199</x:v>
      </x:c>
      <x:c r="B200" s="29" t="n">
        <x:f>A200*'Assumptions'!$B$11</x:f>
        <x:v>995</x:v>
      </x:c>
      <x:c r="C200" s="33" t="n">
        <x:f>1+B200/100</x:f>
        <x:v>10.95</x:v>
      </x:c>
      <x:c r="D200" s="33" t="n">
        <x:f>IF(A200&lt;='Assumptions'!$B$10,1,1+('Assumptions'!$B$14-1)*(A200-'Assumptions'!$B$10)/(MAX($A$2:$A$201)-'Assumptions'!$B$10))</x:f>
        <x:v>2.98</x:v>
      </x:c>
      <x:c r="E200" s="29" t="n">
        <x:f>IF(A200&lt;='Assumptions'!$B$10,'Assumptions'!$B$6*A200^2*(1+'Assumptions'!$B$7*(A200/'Assumptions'!$B$10)^'Assumptions'!$B$8),$F$101*(A200/'Assumptions'!$B$10)^'Assumptions'!$B$12*D200)</x:f>
        <x:v>280401169.1388</x:v>
      </x:c>
      <x:c r="F200" s="29" t="n">
        <x:f>ROUND(E200/'Assumptions'!$B$13,0)*'Assumptions'!$B$13</x:f>
        <x:v>280400000</x:v>
      </x:c>
      <x:c r="G200" s="29" t="n">
        <x:f>SUM($F$2:F200)</x:f>
        <x:v>8839418250</x:v>
      </x:c>
      <x:c r="H200" s="34" t="n">
        <x:f>G200/'Assumptions'!$B$9/3600</x:f>
        <x:v>303.13505658436213</x:v>
      </x:c>
      <x:c r="I200" s="34" t="n">
        <x:f>G200/'Assumptions'!$B$5/3600</x:f>
        <x:v>181.88103395061728</x:v>
      </x:c>
    </x:row>
    <x:row r="201">
      <x:c r="A201" s="29" t="n">
        <x:v>200</x:v>
      </x:c>
      <x:c r="B201" s="29" t="n">
        <x:f>A201*'Assumptions'!$B$11</x:f>
        <x:v>1000</x:v>
      </x:c>
      <x:c r="C201" s="33" t="n">
        <x:f>1+B201/100</x:f>
        <x:v>11</x:v>
      </x:c>
      <x:c r="D201" s="33" t="n">
        <x:f>IF(A201&lt;='Assumptions'!$B$10,1,1+('Assumptions'!$B$14-1)*(A201-'Assumptions'!$B$10)/(MAX($A$2:$A$201)-'Assumptions'!$B$10))</x:f>
        <x:v>3</x:v>
      </x:c>
      <x:c r="E201" s="29" t="n">
        <x:f>IF(A201&lt;='Assumptions'!$B$10,'Assumptions'!$B$6*A201^2*(1+'Assumptions'!$B$7*(A201/'Assumptions'!$B$10)^'Assumptions'!$B$8),$F$101*(A201/'Assumptions'!$B$10)^'Assumptions'!$B$12*D201)</x:f>
        <x:v>288000000</x:v>
      </x:c>
      <x:c r="F201" s="29" t="n">
        <x:f>ROUND(E201/'Assumptions'!$B$13,0)*'Assumptions'!$B$13</x:f>
        <x:v>288000000</x:v>
      </x:c>
      <x:c r="G201" s="29" t="n">
        <x:f>SUM($F$2:F201)</x:f>
        <x:v>9127418250</x:v>
      </x:c>
      <x:c r="H201" s="34" t="n">
        <x:f>G201/'Assumptions'!$B$9/3600</x:f>
        <x:v>313.0115997942387</x:v>
      </x:c>
      <x:c r="I201" s="34" t="n">
        <x:f>G201/'Assumptions'!$B$5/3600</x:f>
        <x:v>187.8069598765432</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4.5" defaultRowHeight="15"/>
  <x:cols>
    <x:col min="1" max="3" width="14" style="20" customWidth="1"/>
    <x:col min="4" max="4" width="18" style="20" customWidth="1"/>
    <x:col min="5" max="5" width="14.5" style="20" customWidth="1"/>
    <x:col min="6" max="16384" width="14.5" style="20" customWidth="1"/>
  </x:cols>
  <x:sheetData>
    <x:row r="1" ht="13.550000190734863" customHeight="1">
      <x:c r="A1" s="7" t="s">
        <x:v>174</x:v>
      </x:c>
      <x:c r="B1" s="7" t="s">
        <x:v>175</x:v>
      </x:c>
      <x:c r="C1" s="7" t="s">
        <x:v>176</x:v>
      </x:c>
      <x:c r="D1" s="7" t="s">
        <x:v>177</x:v>
      </x:c>
      <x:c r="E1" s="8"/>
    </x:row>
    <x:row r="2" ht="13.550000190734863" customHeight="1">
      <x:c r="A2" s="11">
        <x:v>1</x:v>
      </x:c>
      <x:c r="B2" s="9" t="s">
        <x:v>178</x:v>
      </x:c>
      <x:c r="C2" s="11">
        <x:v>10000</x:v>
      </x:c>
      <x:c r="D2" s="11" t="n">
        <x:f>SUM($C$2:C2)</x:f>
        <x:v>10000</x:v>
      </x:c>
      <x:c r="E2" s="8"/>
    </x:row>
    <x:row r="3" ht="13.550000190734863" customHeight="1">
      <x:c r="A3" s="11">
        <x:v>2</x:v>
      </x:c>
      <x:c r="B3" s="9" t="s">
        <x:v>179</x:v>
      </x:c>
      <x:c r="C3" s="11">
        <x:v>150000</x:v>
      </x:c>
      <x:c r="D3" s="11" t="n">
        <x:f>SUM($C$2:C3)</x:f>
        <x:v>160000</x:v>
      </x:c>
      <x:c r="E3" s="8"/>
    </x:row>
    <x:row r="4" ht="13.550000190734863" customHeight="1">
      <x:c r="A4" s="11">
        <x:v>3</x:v>
      </x:c>
      <x:c r="B4" s="9" t="s">
        <x:v>180</x:v>
      </x:c>
      <x:c r="C4" s="11">
        <x:v>1000000</x:v>
      </x:c>
      <x:c r="D4" s="11" t="n">
        <x:f>SUM($C$2:C4)</x:f>
        <x:v>1160000</x:v>
      </x:c>
      <x:c r="E4" s="8"/>
    </x:row>
    <x:row r="5" ht="13.550000190734863" customHeight="1">
      <x:c r="A5" s="11">
        <x:v>4</x:v>
      </x:c>
      <x:c r="B5" s="9" t="s">
        <x:v>181</x:v>
      </x:c>
      <x:c r="C5" s="11">
        <x:v>5000000</x:v>
      </x:c>
      <x:c r="D5" s="11" t="n">
        <x:f>SUM($C$2:C5)</x:f>
        <x:v>6160000</x:v>
      </x:c>
      <x:c r="E5" s="8"/>
    </x:row>
    <x:row r="6" ht="13.550000190734863" customHeight="1">
      <x:c r="A6" s="8"/>
      <x:c r="B6" s="8"/>
      <x:c r="C6" s="8"/>
      <x:c r="D6" s="8"/>
      <x:c r="E6" s="8"/>
    </x:row>
    <x:row r="7" ht="13.550000190734863" customHeight="1">
      <x:c r="A7" s="8"/>
      <x:c r="B7" s="8"/>
      <x:c r="C7" s="8"/>
      <x:c r="D7" s="8"/>
      <x:c r="E7" s="8"/>
    </x:row>
    <x:row r="8" ht="13.550000190734863" customHeight="1">
      <x:c r="A8" s="8"/>
      <x:c r="B8" s="8"/>
      <x:c r="C8" s="8"/>
      <x:c r="D8" s="8"/>
      <x:c r="E8" s="8"/>
    </x:row>
    <x:row r="9" ht="13.550000190734863" customHeight="1">
      <x:c r="A9" s="8"/>
      <x:c r="B9" s="8"/>
      <x:c r="C9" s="8"/>
      <x:c r="D9" s="8"/>
      <x:c r="E9" s="8"/>
    </x:row>
    <x:row r="10" ht="13.550000190734863" customHeight="1">
      <x:c r="A10" s="8"/>
      <x:c r="B10" s="8"/>
      <x:c r="C10" s="8"/>
      <x:c r="D10" s="8"/>
      <x:c r="E10" s="8"/>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4.5" defaultRowHeight="15"/>
  <x:cols>
    <x:col min="1" max="1" width="12" style="21" customWidth="1"/>
    <x:col min="2" max="2" width="14" style="21" customWidth="1"/>
    <x:col min="3" max="3" width="16" style="21" customWidth="1"/>
    <x:col min="4" max="5" width="18" style="21" customWidth="1"/>
    <x:col min="6" max="6" width="15" style="21" customWidth="1"/>
    <x:col min="7" max="7" width="16" style="21" customWidth="1"/>
    <x:col min="8" max="8" width="14" style="21" customWidth="1"/>
    <x:col min="9" max="16384" width="14.5" style="21" customWidth="1"/>
  </x:cols>
  <x:sheetData>
    <x:row r="1" ht="13.550000190734863" customHeight="1">
      <x:c r="A1" s="7" t="s">
        <x:v>182</x:v>
      </x:c>
      <x:c r="B1" s="7" t="s">
        <x:v>183</x:v>
      </x:c>
      <x:c r="C1" s="7" t="s">
        <x:v>184</x:v>
      </x:c>
      <x:c r="D1" s="7" t="s">
        <x:v>185</x:v>
      </x:c>
      <x:c r="E1" s="7" t="s">
        <x:v>186</x:v>
      </x:c>
      <x:c r="F1" s="7" t="s">
        <x:v>187</x:v>
      </x:c>
      <x:c r="G1" s="7" t="s">
        <x:v>188</x:v>
      </x:c>
      <x:c r="H1" s="7" t="s">
        <x:v>189</x:v>
      </x:c>
    </x:row>
    <x:row r="2" ht="13.550000190734863" customHeight="1">
      <x:c r="A2" s="11">
        <x:v>1</x:v>
      </x:c>
      <x:c r="B2" s="11">
        <x:v>25000</x:v>
      </x:c>
      <x:c r="C2" s="11">
        <x:v>1</x:v>
      </x:c>
      <x:c r="D2" s="9" t="s">
        <x:v>190</x:v>
      </x:c>
      <x:c r="E2" s="11">
        <x:v>24</x:v>
      </x:c>
      <x:c r="F2" s="11">
        <x:v>0.25</x:v>
      </x:c>
      <x:c r="G2" s="11" t="n">
        <x:f>C2*E2*F2*3600</x:f>
        <x:v>21600</x:v>
      </x:c>
      <x:c r="H2" s="11" t="n">
        <x:f>B2-G2</x:f>
        <x:v>3400</x:v>
      </x:c>
    </x:row>
    <x:row r="3" ht="13.550000190734863" customHeight="1">
      <x:c r="A3" s="11">
        <x:v>2</x:v>
      </x:c>
      <x:c r="B3" s="11">
        <x:v>250000</x:v>
      </x:c>
      <x:c r="C3" s="11">
        <x:v>2</x:v>
      </x:c>
      <x:c r="D3" s="9" t="s">
        <x:v>191</x:v>
      </x:c>
      <x:c r="E3" s="11">
        <x:v>40</x:v>
      </x:c>
      <x:c r="F3" s="11">
        <x:v>1</x:v>
      </x:c>
      <x:c r="G3" s="11" t="n">
        <x:f>C3*E3*F3*3600</x:f>
        <x:v>288000</x:v>
      </x:c>
      <x:c r="H3" s="11" t="n">
        <x:f>B3-G3</x:f>
        <x:v>-38000</x:v>
      </x:c>
    </x:row>
    <x:row r="4" ht="13.550000190734863" customHeight="1">
      <x:c r="A4" s="11">
        <x:v>3</x:v>
      </x:c>
      <x:c r="B4" s="11">
        <x:v>3500000</x:v>
      </x:c>
      <x:c r="C4" s="11">
        <x:v>3</x:v>
      </x:c>
      <x:c r="D4" s="9" t="s">
        <x:v>192</x:v>
      </x:c>
      <x:c r="E4" s="11">
        <x:v>113</x:v>
      </x:c>
      <x:c r="F4" s="11">
        <x:v>3</x:v>
      </x:c>
      <x:c r="G4" s="11" t="n">
        <x:f>C4*E4*F4*3600</x:f>
        <x:v>3661200</x:v>
      </x:c>
      <x:c r="H4" s="11" t="n">
        <x:f>B4-G4</x:f>
        <x:v>-161200</x:v>
      </x:c>
    </x:row>
    <x:row r="5" ht="13.550000190734863" customHeight="1">
      <x:c r="A5" s="11">
        <x:v>4</x:v>
      </x:c>
      <x:c r="B5" s="11">
        <x:v>20000000</x:v>
      </x:c>
      <x:c r="C5" s="11">
        <x:v>4</x:v>
      </x:c>
      <x:c r="D5" s="9" t="s">
        <x:v>193</x:v>
      </x:c>
      <x:c r="E5" s="11">
        <x:v>228</x:v>
      </x:c>
      <x:c r="F5" s="11">
        <x:v>6</x:v>
      </x:c>
      <x:c r="G5" s="11" t="n">
        <x:f>C5*E5*F5*3600</x:f>
        <x:v>19699200</x:v>
      </x:c>
      <x:c r="H5" s="11" t="n">
        <x:f>B5-G5</x:f>
        <x:v>300800</x:v>
      </x:c>
    </x:row>
    <x:row r="6" ht="13.550000190734863" customHeight="1">
      <x:c r="A6" s="11">
        <x:v>5</x:v>
      </x:c>
      <x:c r="B6" s="11">
        <x:v>50000000</x:v>
      </x:c>
      <x:c r="C6" s="11">
        <x:v>5</x:v>
      </x:c>
      <x:c r="D6" s="9" t="s">
        <x:v>194</x:v>
      </x:c>
      <x:c r="E6" s="11">
        <x:v>395</x:v>
      </x:c>
      <x:c r="F6" s="11">
        <x:v>8</x:v>
      </x:c>
      <x:c r="G6" s="11" t="n">
        <x:f>C6*E6*F6*3600</x:f>
        <x:v>56880000</x:v>
      </x:c>
      <x:c r="H6" s="11" t="n">
        <x:f>B6-G6</x:f>
        <x:v>-6880000</x:v>
      </x:c>
    </x:row>
    <x:row r="7" ht="13.550000190734863" customHeight="1">
      <x:c r="A7" s="11">
        <x:v>6</x:v>
      </x:c>
      <x:c r="B7" s="11">
        <x:v>200000000</x:v>
      </x:c>
      <x:c r="C7" s="11">
        <x:v>6</x:v>
      </x:c>
      <x:c r="D7" s="9" t="s">
        <x:v>195</x:v>
      </x:c>
      <x:c r="E7" s="11">
        <x:v>800</x:v>
      </x:c>
      <x:c r="F7" s="11">
        <x:v>10</x:v>
      </x:c>
      <x:c r="G7" s="11" t="n">
        <x:f>C7*E7*F7*3600</x:f>
        <x:v>172800000</x:v>
      </x:c>
      <x:c r="H7" s="11" t="n">
        <x:f>B7-G7</x:f>
        <x:v>27200000</x:v>
      </x:c>
    </x:row>
    <x:row r="8" ht="13.550000190734863" customHeight="1">
      <x:c r="A8" s="8"/>
      <x:c r="B8" s="8"/>
      <x:c r="C8" s="8"/>
      <x:c r="D8" s="8"/>
      <x:c r="E8" s="8"/>
      <x:c r="F8" s="8"/>
      <x:c r="G8" s="8"/>
      <x:c r="H8" s="8"/>
    </x:row>
    <x:row r="9" ht="13.550000190734863" customHeight="1">
      <x:c r="A9" s="8"/>
      <x:c r="B9" s="8"/>
      <x:c r="C9" s="8"/>
      <x:c r="D9" s="8"/>
      <x:c r="E9" s="8"/>
      <x:c r="F9" s="8"/>
      <x:c r="G9" s="8"/>
      <x:c r="H9" s="8"/>
    </x:row>
    <x:row r="10" ht="13.550000190734863" customHeight="1">
      <x:c r="A10" s="8"/>
      <x:c r="B10" s="8"/>
      <x:c r="C10" s="8"/>
      <x:c r="D10" s="8"/>
      <x:c r="E10" s="8"/>
      <x:c r="F10" s="8"/>
      <x:c r="G10" s="8"/>
      <x:c r="H10" s="8"/>
    </x:row>
  </x:sheetData>
  <x:pageMargins left="0.7" right="0.7" top="0.75" bottom="0.75" header="0.3" footer="0.3"/>
</x:worksheet>
</file>