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d3561a4f2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29bf9460f146a3"/>
    <x:sheet xmlns:r="http://schemas.openxmlformats.org/officeDocument/2006/relationships" name="Assumptions" sheetId="2" r:id="Rd93cee1db6a547ae"/>
    <x:sheet xmlns:r="http://schemas.openxmlformats.org/officeDocument/2006/relationships" name="Feeds" sheetId="3" r:id="R9065c532ba274e67"/>
    <x:sheet xmlns:r="http://schemas.openxmlformats.org/officeDocument/2006/relationships" name="Pets" sheetId="4" r:id="Rdc5b1cdb9a794412"/>
    <x:sheet xmlns:r="http://schemas.openxmlformats.org/officeDocument/2006/relationships" name="Seeds" sheetId="5" r:id="R8d52201c6c3e48fc"/>
    <x:sheet xmlns:r="http://schemas.openxmlformats.org/officeDocument/2006/relationships" name="LuckUpgrades" sheetId="6" r:id="Rd4f0319122e2495d"/>
    <x:sheet xmlns:r="http://schemas.openxmlformats.org/officeDocument/2006/relationships" name="RollPads" sheetId="7" r:id="R333181e622a143be"/>
    <x:sheet xmlns:r="http://schemas.openxmlformats.org/officeDocument/2006/relationships" name="Rebirths" sheetId="8" r:id="R0778ca33a5c84261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<x:sst xmlns:x="http://schemas.openxmlformats.org/spreadsheetml/2006/main">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</x:sst>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5d6f73e5a4b10" /><Relationship Type="http://schemas.openxmlformats.org/officeDocument/2006/relationships/theme" Target="/xl/theme/theme1.xml" Id="Rc31a39fbfae74285" /><Relationship Type="http://schemas.openxmlformats.org/officeDocument/2006/relationships/sharedStrings" Target="/xl/sharedStrings.xml" Id="R96d73fca70484406" /><Relationship Type="http://schemas.openxmlformats.org/officeDocument/2006/relationships/worksheet" Target="/xl/worksheets/sheet1.xml" Id="R2329bf9460f146a3" /><Relationship Type="http://schemas.openxmlformats.org/officeDocument/2006/relationships/worksheet" Target="/xl/worksheets/sheet2.xml" Id="Rd93cee1db6a547ae" /><Relationship Type="http://schemas.openxmlformats.org/officeDocument/2006/relationships/worksheet" Target="/xl/worksheets/sheet3.xml" Id="R9065c532ba274e67" /><Relationship Type="http://schemas.openxmlformats.org/officeDocument/2006/relationships/worksheet" Target="/xl/worksheets/sheet4.xml" Id="Rdc5b1cdb9a794412" /><Relationship Type="http://schemas.openxmlformats.org/officeDocument/2006/relationships/worksheet" Target="/xl/worksheets/sheet5.xml" Id="R8d52201c6c3e48fc" /><Relationship Type="http://schemas.openxmlformats.org/officeDocument/2006/relationships/worksheet" Target="/xl/worksheets/sheet6.xml" Id="Rd4f0319122e2495d" /><Relationship Type="http://schemas.openxmlformats.org/officeDocument/2006/relationships/worksheet" Target="/xl/worksheets/sheet7.xml" Id="R333181e622a143be" /><Relationship Type="http://schemas.openxmlformats.org/officeDocument/2006/relationships/worksheet" Target="/xl/worksheets/sheet8.xml" Id="R0778ca33a5c84261" /><Relationship Type="http://schemas.microsoft.com/office/2017/10/relationships/person" Target="/xl/persons/person.xml" Id="Rd92f5a0fbf1144e3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993d6975df641d2" /><Relationship Type="http://schemas.openxmlformats.org/officeDocument/2006/relationships/vmlDrawing" Target="/xl/drawings/vmldrawing.vml" Id="R30e0a810aac14392" /><Relationship Type="http://schemas.microsoft.com/office/2017/10/relationships/threadedComment" Target="/xl/threadedcomments/threadedcomment.xml" Id="R2cdacb28467e429f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IF($E$54*(1.05^(A55-$A$54))&lt;2000,ROUND($E$54*(1.05^(A55-$A$54))/50,0)*50,IF($E$54*(1.05^(A55-$A$54))&lt;10000,ROUND($E$54*(1.05^(A55-$A$54))/100,0)*100,ROUND($E$54*(1.05^(A55-$A$54))/500,0)*500))</x:f>
        <x:v>1050</x:v>
      </x:c>
      <x:c r="F55" s="6" t="n">
        <x:f>ROUND(20*H55,0)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IF($E$54*(1.05^(A56-$A$54))&lt;2000,ROUND($E$54*(1.05^(A56-$A$54))/50,0)*50,IF($E$54*(1.05^(A56-$A$54))&lt;10000,ROUND($E$54*(1.05^(A56-$A$54))/100,0)*100,ROUND($E$54*(1.05^(A56-$A$54))/500,0)*500))</x:f>
        <x:v>1100</x:v>
      </x:c>
      <x:c r="F56" s="6" t="n">
        <x:f>ROUND(45*H56,0)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IF($E$54*(1.05^(A57-$A$54))&lt;2000,ROUND($E$54*(1.05^(A57-$A$54))/50,0)*50,IF($E$54*(1.05^(A57-$A$54))&lt;10000,ROUND($E$54*(1.05^(A57-$A$54))/100,0)*100,ROUND($E$54*(1.05^(A57-$A$54))/500,0)*500))</x:f>
        <x:v>1150</x:v>
      </x:c>
      <x:c r="F57" s="6" t="n">
        <x:f>ROUND(60*H57,0)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IF($E$54*(1.05^(A58-$A$54))&lt;2000,ROUND($E$54*(1.05^(A58-$A$54))/50,0)*50,IF($E$54*(1.05^(A58-$A$54))&lt;10000,ROUND($E$54*(1.05^(A58-$A$54))/100,0)*100,ROUND($E$54*(1.05^(A58-$A$54))/500,0)*500))</x:f>
        <x:v>1200</x:v>
      </x:c>
      <x:c r="F58" s="6" t="n">
        <x:f>ROUND(100*H58,0)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IF($E$54*(1.05^(A59-$A$54))&lt;2000,ROUND($E$54*(1.05^(A59-$A$54))/50,0)*50,IF($E$54*(1.05^(A59-$A$54))&lt;10000,ROUND($E$54*(1.05^(A59-$A$54))/100,0)*100,ROUND($E$54*(1.05^(A59-$A$54))/500,0)*500))</x:f>
        <x:v>1300</x:v>
      </x:c>
      <x:c r="F59" s="6" t="n">
        <x:f>ROUND(250*H59,0)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IF($E$54*(1.05^(A60-$A$54))&lt;2000,ROUND($E$54*(1.05^(A60-$A$54))/50,0)*50,IF($E$54*(1.05^(A60-$A$54))&lt;10000,ROUND($E$54*(1.05^(A60-$A$54))/100,0)*100,ROUND($E$54*(1.05^(A60-$A$54))/500,0)*500))</x:f>
        <x:v>1350</x:v>
      </x:c>
      <x:c r="F60" s="6" t="n">
        <x:f>ROUND(((250*((2000/250)^((A60-$A$59)/($A$107-$A$59)))*H60)/10000000)+0.000000001,0)*10000000</x:f>
        <x:v>780000000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260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IF($E$54*(1.05^(A61-$A$54))&lt;2000,ROUND($E$54*(1.05^(A61-$A$54))/50,0)*50,IF($E$54*(1.05^(A61-$A$54))&lt;10000,ROUND($E$54*(1.05^(A61-$A$54))/100,0)*100,ROUND($E$54*(1.05^(A61-$A$54))/500,0)*500))</x:f>
        <x:v>1400</x:v>
      </x:c>
      <x:c r="F61" s="6" t="n">
        <x:f>ROUND(((250*((2000/250)^((A61-$A$59)/($A$107-$A$59)))*H61)/10000000)+0.000000001,0)*10000000</x:f>
        <x:v>820000000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273.3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IF($E$54*(1.05^(A62-$A$54))&lt;2000,ROUND($E$54*(1.05^(A62-$A$54))/50,0)*50,IF($E$54*(1.05^(A62-$A$54))&lt;10000,ROUND($E$54*(1.05^(A62-$A$54))/100,0)*100,ROUND($E$54*(1.05^(A62-$A$54))/500,0)*500))</x:f>
        <x:v>1500</x:v>
      </x:c>
      <x:c r="F62" s="6" t="n">
        <x:f>ROUND(((250*((2000/250)^((A62-$A$59)/($A$107-$A$59)))*H62)/10000000)+0.000000001,0)*10000000</x:f>
        <x:v>850000000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283.3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IF($E$54*(1.05^(A63-$A$54))&lt;2000,ROUND($E$54*(1.05^(A63-$A$54))/50,0)*50,IF($E$54*(1.05^(A63-$A$54))&lt;10000,ROUND($E$54*(1.05^(A63-$A$54))/100,0)*100,ROUND($E$54*(1.05^(A63-$A$54))/500,0)*500))</x:f>
        <x:v>1550</x:v>
      </x:c>
      <x:c r="F63" s="6" t="n">
        <x:f>ROUND(((250*((2000/250)^((A63-$A$59)/($A$107-$A$59)))*H63)/10000000)+0.000000001,0)*10000000</x:f>
        <x:v>890000000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296.7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IF($E$54*(1.05^(A64-$A$54))&lt;2000,ROUND($E$54*(1.05^(A64-$A$54))/50,0)*50,IF($E$54*(1.05^(A64-$A$54))&lt;10000,ROUND($E$54*(1.05^(A64-$A$54))/100,0)*100,ROUND($E$54*(1.05^(A64-$A$54))/500,0)*500))</x:f>
        <x:v>1650</x:v>
      </x:c>
      <x:c r="F64" s="6" t="n">
        <x:f>ROUND(((250*((2000/250)^((A64-$A$59)/($A$107-$A$59)))*H64)/10000000)+0.000000001,0)*10000000</x:f>
        <x:v>930000000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IF($E$54*(1.05^(A65-$A$54))&lt;2000,ROUND($E$54*(1.05^(A65-$A$54))/50,0)*50,IF($E$54*(1.05^(A65-$A$54))&lt;10000,ROUND($E$54*(1.05^(A65-$A$54))/100,0)*100,ROUND($E$54*(1.05^(A65-$A$54))/500,0)*500))</x:f>
        <x:v>1700</x:v>
      </x:c>
      <x:c r="F65" s="6" t="n">
        <x:f>ROUND(((250*((2000/250)^((A65-$A$59)/($A$107-$A$59)))*H65)/10000000)+0.000000001,0)*10000000</x:f>
        <x:v>970000000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323.3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IF($E$54*(1.05^(A66-$A$54))&lt;2000,ROUND($E$54*(1.05^(A66-$A$54))/50,0)*50,IF($E$54*(1.05^(A66-$A$54))&lt;10000,ROUND($E$54*(1.05^(A66-$A$54))/100,0)*100,ROUND($E$54*(1.05^(A66-$A$54))/500,0)*500))</x:f>
        <x:v>1800</x:v>
      </x:c>
      <x:c r="F66" s="6" t="n">
        <x:f>ROUND(((250*((2000/250)^((A66-$A$59)/($A$107-$A$59)))*H66)/100000000)+0.000000001,0)*100000000</x:f>
        <x:v>2500000000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333.3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IF($E$54*(1.05^(A67-$A$54))&lt;2000,ROUND($E$54*(1.05^(A67-$A$54))/50,0)*50,IF($E$54*(1.05^(A67-$A$54))&lt;10000,ROUND($E$54*(1.05^(A67-$A$54))/100,0)*100,ROUND($E$54*(1.05^(A67-$A$54))/500,0)*500))</x:f>
        <x:v>1900</x:v>
      </x:c>
      <x:c r="F67" s="6" t="n">
        <x:f>ROUND(((250*((2000/250)^((A67-$A$59)/($A$107-$A$59)))*H67)/100000000)+0.000000001,0)*100000000</x:f>
        <x:v>2700000000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360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IF($E$54*(1.05^(A68-$A$54))&lt;2000,ROUND($E$54*(1.05^(A68-$A$54))/50,0)*50,IF($E$54*(1.05^(A68-$A$54))&lt;10000,ROUND($E$54*(1.05^(A68-$A$54))/100,0)*100,ROUND($E$54*(1.05^(A68-$A$54))/500,0)*500))</x:f>
        <x:v>2000</x:v>
      </x:c>
      <x:c r="F68" s="6" t="n">
        <x:f>ROUND(((250*((2000/250)^((A68-$A$59)/($A$107-$A$59)))*H68)/100000000)+0.000000001,0)*100000000</x:f>
        <x:v>2800000000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373.3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IF($E$54*(1.05^(A69-$A$54))&lt;2000,ROUND($E$54*(1.05^(A69-$A$54))/50,0)*50,IF($E$54*(1.05^(A69-$A$54))&lt;10000,ROUND($E$54*(1.05^(A69-$A$54))/100,0)*100,ROUND($E$54*(1.05^(A69-$A$54))/500,0)*500))</x:f>
        <x:v>2100</x:v>
      </x:c>
      <x:c r="F69" s="6" t="n">
        <x:f>ROUND(((250*((2000/250)^((A69-$A$59)/($A$107-$A$59)))*H69)/100000000)+0.000000001,0)*100000000</x:f>
        <x:v>2900000000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386.7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IF($E$54*(1.05^(A70-$A$54))&lt;2000,ROUND($E$54*(1.05^(A70-$A$54))/50,0)*50,IF($E$54*(1.05^(A70-$A$54))&lt;10000,ROUND($E$54*(1.05^(A70-$A$54))/100,0)*100,ROUND($E$54*(1.05^(A70-$A$54))/500,0)*500))</x:f>
        <x:v>2200</x:v>
      </x:c>
      <x:c r="F70" s="6" t="n">
        <x:f>ROUND(((250*((2000/250)^((A70-$A$59)/($A$107-$A$59)))*H70)/100000000)+0.000000001,0)*100000000</x:f>
        <x:v>3000000000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400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IF($E$54*(1.05^(A71-$A$54))&lt;2000,ROUND($E$54*(1.05^(A71-$A$54))/50,0)*50,IF($E$54*(1.05^(A71-$A$54))&lt;10000,ROUND($E$54*(1.05^(A71-$A$54))/100,0)*100,ROUND($E$54*(1.05^(A71-$A$54))/500,0)*500))</x:f>
        <x:v>2300</x:v>
      </x:c>
      <x:c r="F71" s="6" t="n">
        <x:f>ROUND(((250*((2000/250)^((A71-$A$59)/($A$107-$A$59)))*H71)/100000000)+0.000000001,0)*100000000</x:f>
        <x:v>3200000000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426.7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IF($E$54*(1.05^(A72-$A$54))&lt;2000,ROUND($E$54*(1.05^(A72-$A$54))/50,0)*50,IF($E$54*(1.05^(A72-$A$54))&lt;10000,ROUND($E$54*(1.05^(A72-$A$54))/100,0)*100,ROUND($E$54*(1.05^(A72-$A$54))/500,0)*500))</x:f>
        <x:v>2400</x:v>
      </x:c>
      <x:c r="F72" s="6" t="n">
        <x:f>ROUND(((250*((2000/250)^((A72-$A$59)/($A$107-$A$59)))*H72)/100000000)+0.000000001,0)*100000000</x:f>
        <x:v>3300000000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440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IF($E$54*(1.05^(A73-$A$54))&lt;2000,ROUND($E$54*(1.05^(A73-$A$54))/50,0)*50,IF($E$54*(1.05^(A73-$A$54))&lt;10000,ROUND($E$54*(1.05^(A73-$A$54))/100,0)*100,ROUND($E$54*(1.05^(A73-$A$54))/500,0)*500))</x:f>
        <x:v>2500</x:v>
      </x:c>
      <x:c r="F73" s="6" t="n">
        <x:f>ROUND(((250*((2000/250)^((A73-$A$59)/($A$107-$A$59)))*H73)/100000000)+0.000000001,0)*100000000</x:f>
        <x:v>3400000000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453.3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IF($E$54*(1.05^(A74-$A$54))&lt;2000,ROUND($E$54*(1.05^(A74-$A$54))/50,0)*50,IF($E$54*(1.05^(A74-$A$54))&lt;10000,ROUND($E$54*(1.05^(A74-$A$54))/100,0)*100,ROUND($E$54*(1.05^(A74-$A$54))/500,0)*500))</x:f>
        <x:v>2700</x:v>
      </x:c>
      <x:c r="F74" s="6" t="n">
        <x:f>ROUND(((250*((2000/250)^((A74-$A$59)/($A$107-$A$59)))*H74)/100000000)+0.000000001,0)*100000000</x:f>
        <x:v>3600000000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480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IF($E$54*(1.05^(A75-$A$54))&lt;2000,ROUND($E$54*(1.05^(A75-$A$54))/50,0)*50,IF($E$54*(1.05^(A75-$A$54))&lt;10000,ROUND($E$54*(1.05^(A75-$A$54))/100,0)*100,ROUND($E$54*(1.05^(A75-$A$54))/500,0)*500))</x:f>
        <x:v>2800</x:v>
      </x:c>
      <x:c r="F75" s="6" t="n">
        <x:f>ROUND(((250*((2000/250)^((A75-$A$59)/($A$107-$A$59)))*H75)/100000000)+0.000000001,0)*100000000</x:f>
        <x:v>3800000000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506.7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IF($E$54*(1.05^(A76-$A$54))&lt;2000,ROUND($E$54*(1.05^(A76-$A$54))/50,0)*50,IF($E$54*(1.05^(A76-$A$54))&lt;10000,ROUND($E$54*(1.05^(A76-$A$54))/100,0)*100,ROUND($E$54*(1.05^(A76-$A$54))/500,0)*500))</x:f>
        <x:v>2900</x:v>
      </x:c>
      <x:c r="F76" s="6" t="n">
        <x:f>ROUND(((250*((2000/250)^((A76-$A$59)/($A$107-$A$59)))*H76)/250000000)+0.000000001,0)*250000000</x:f>
        <x:v>9500000000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527.8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IF($E$54*(1.05^(A77-$A$54))&lt;2000,ROUND($E$54*(1.05^(A77-$A$54))/50,0)*50,IF($E$54*(1.05^(A77-$A$54))&lt;10000,ROUND($E$54*(1.05^(A77-$A$54))/100,0)*100,ROUND($E$54*(1.05^(A77-$A$54))/500,0)*500))</x:f>
        <x:v>3100</x:v>
      </x:c>
      <x:c r="F77" s="6" t="n">
        <x:f>ROUND(((250*((2000/250)^((A77-$A$59)/($A$107-$A$59)))*H77)/250000000)+0.000000001,0)*250000000</x:f>
        <x:v>9750000000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541.7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IF($E$54*(1.05^(A78-$A$54))&lt;2000,ROUND($E$54*(1.05^(A78-$A$54))/50,0)*50,IF($E$54*(1.05^(A78-$A$54))&lt;10000,ROUND($E$54*(1.05^(A78-$A$54))/100,0)*100,ROUND($E$54*(1.05^(A78-$A$54))/500,0)*500))</x:f>
        <x:v>3200</x:v>
      </x:c>
      <x:c r="F78" s="6" t="n">
        <x:f>ROUND(((250*((2000/250)^((A78-$A$59)/($A$107-$A$59)))*H78)/250000000)+0.000000001,0)*250000000</x:f>
        <x:v>10250000000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569.4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IF($E$54*(1.05^(A79-$A$54))&lt;2000,ROUND($E$54*(1.05^(A79-$A$54))/50,0)*50,IF($E$54*(1.05^(A79-$A$54))&lt;10000,ROUND($E$54*(1.05^(A79-$A$54))/100,0)*100,ROUND($E$54*(1.05^(A79-$A$54))/500,0)*500))</x:f>
        <x:v>3400</x:v>
      </x:c>
      <x:c r="F79" s="6" t="n">
        <x:f>ROUND(((250*((2000/250)^((A79-$A$59)/($A$107-$A$59)))*H79)/250000000)+0.000000001,0)*250000000</x:f>
        <x:v>10750000000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597.2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IF($E$54*(1.05^(A80-$A$54))&lt;2000,ROUND($E$54*(1.05^(A80-$A$54))/50,0)*50,IF($E$54*(1.05^(A80-$A$54))&lt;10000,ROUND($E$54*(1.05^(A80-$A$54))/100,0)*100,ROUND($E$54*(1.05^(A80-$A$54))/500,0)*500))</x:f>
        <x:v>3600</x:v>
      </x:c>
      <x:c r="F80" s="6" t="n">
        <x:f>ROUND(((250*((2000/250)^((A80-$A$59)/($A$107-$A$59)))*H80)/250000000)+0.000000001,0)*250000000</x:f>
        <x:v>11250000000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625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IF($E$54*(1.05^(A81-$A$54))&lt;2000,ROUND($E$54*(1.05^(A81-$A$54))/50,0)*50,IF($E$54*(1.05^(A81-$A$54))&lt;10000,ROUND($E$54*(1.05^(A81-$A$54))/100,0)*100,ROUND($E$54*(1.05^(A81-$A$54))/500,0)*500))</x:f>
        <x:v>3700</x:v>
      </x:c>
      <x:c r="F81" s="6" t="n">
        <x:f>ROUND(((250*((2000/250)^((A81-$A$59)/($A$107-$A$59)))*H81)/250000000)+0.000000001,0)*250000000</x:f>
        <x:v>11750000000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652.8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IF($E$54*(1.05^(A82-$A$54))&lt;2000,ROUND($E$54*(1.05^(A82-$A$54))/50,0)*50,IF($E$54*(1.05^(A82-$A$54))&lt;10000,ROUND($E$54*(1.05^(A82-$A$54))/100,0)*100,ROUND($E$54*(1.05^(A82-$A$54))/500,0)*500))</x:f>
        <x:v>3900</x:v>
      </x:c>
      <x:c r="F82" s="6" t="n">
        <x:f>ROUND(((250*((2000/250)^((A82-$A$59)/($A$107-$A$59)))*H82)/250000000)+0.000000001,0)*250000000</x:f>
        <x:v>12250000000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680.6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IF($E$54*(1.05^(A83-$A$54))&lt;2000,ROUND($E$54*(1.05^(A83-$A$54))/50,0)*50,IF($E$54*(1.05^(A83-$A$54))&lt;10000,ROUND($E$54*(1.05^(A83-$A$54))/100,0)*100,ROUND($E$54*(1.05^(A83-$A$54))/500,0)*500))</x:f>
        <x:v>4100</x:v>
      </x:c>
      <x:c r="F83" s="6" t="n">
        <x:f>ROUND(((250*((2000/250)^((A83-$A$59)/($A$107-$A$59)))*H83)/250000000)+0.000000001,0)*250000000</x:f>
        <x:v>12750000000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708.3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IF($E$54*(1.05^(A84-$A$54))&lt;2000,ROUND($E$54*(1.05^(A84-$A$54))/50,0)*50,IF($E$54*(1.05^(A84-$A$54))&lt;10000,ROUND($E$54*(1.05^(A84-$A$54))/100,0)*100,ROUND($E$54*(1.05^(A84-$A$54))/500,0)*500))</x:f>
        <x:v>4300</x:v>
      </x:c>
      <x:c r="F84" s="6" t="n">
        <x:f>ROUND(((250*((2000/250)^((A84-$A$59)/($A$107-$A$59)))*H84)/250000000)+0.000000001,0)*250000000</x:f>
        <x:v>13250000000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736.1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IF($E$54*(1.05^(A85-$A$54))&lt;2000,ROUND($E$54*(1.05^(A85-$A$54))/50,0)*50,IF($E$54*(1.05^(A85-$A$54))&lt;10000,ROUND($E$54*(1.05^(A85-$A$54))/100,0)*100,ROUND($E$54*(1.05^(A85-$A$54))/500,0)*500))</x:f>
        <x:v>4500</x:v>
      </x:c>
      <x:c r="F85" s="6" t="n">
        <x:f>ROUND(((250*((2000/250)^((A85-$A$59)/($A$107-$A$59)))*H85)/250000000)+0.000000001,0)*250000000</x:f>
        <x:v>14000000000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777.8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IF($E$54*(1.05^(A86-$A$54))&lt;2000,ROUND($E$54*(1.05^(A86-$A$54))/50,0)*50,IF($E$54*(1.05^(A86-$A$54))&lt;10000,ROUND($E$54*(1.05^(A86-$A$54))/100,0)*100,ROUND($E$54*(1.05^(A86-$A$54))/500,0)*500))</x:f>
        <x:v>4800</x:v>
      </x:c>
      <x:c r="F86" s="6" t="n">
        <x:f>ROUND(((250*((2000/250)^((A86-$A$59)/($A$107-$A$59)))*H86)/250000000)+0.000000001,0)*250000000</x:f>
        <x:v>14500000000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805.6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IF($E$54*(1.05^(A87-$A$54))&lt;2000,ROUND($E$54*(1.05^(A87-$A$54))/50,0)*50,IF($E$54*(1.05^(A87-$A$54))&lt;10000,ROUND($E$54*(1.05^(A87-$A$54))/100,0)*100,ROUND($E$54*(1.05^(A87-$A$54))/500,0)*500))</x:f>
        <x:v>5000</x:v>
      </x:c>
      <x:c r="F87" s="6" t="n">
        <x:f>ROUND(((250*((2000/250)^((A87-$A$59)/($A$107-$A$59)))*H87)/1000000000)+0.000000001,0)*1000000000</x:f>
        <x:v>38000000000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844.4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IF($E$54*(1.05^(A88-$A$54))&lt;2000,ROUND($E$54*(1.05^(A88-$A$54))/50,0)*50,IF($E$54*(1.05^(A88-$A$54))&lt;10000,ROUND($E$54*(1.05^(A88-$A$54))/100,0)*100,ROUND($E$54*(1.05^(A88-$A$54))/500,0)*500))</x:f>
        <x:v>5300</x:v>
      </x:c>
      <x:c r="F88" s="6" t="n">
        <x:f>ROUND(((250*((2000/250)^((A88-$A$59)/($A$107-$A$59)))*H88)/1000000000)+0.000000001,0)*1000000000</x:f>
        <x:v>40000000000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888.9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IF($E$54*(1.05^(A89-$A$54))&lt;2000,ROUND($E$54*(1.05^(A89-$A$54))/50,0)*50,IF($E$54*(1.05^(A89-$A$54))&lt;10000,ROUND($E$54*(1.05^(A89-$A$54))/100,0)*100,ROUND($E$54*(1.05^(A89-$A$54))/500,0)*500))</x:f>
        <x:v>5500</x:v>
      </x:c>
      <x:c r="F89" s="6" t="n">
        <x:f>ROUND(((250*((2000/250)^((A89-$A$59)/($A$107-$A$59)))*H89)/1000000000)+0.000000001,0)*1000000000</x:f>
        <x:v>41000000000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911.1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IF($E$54*(1.05^(A90-$A$54))&lt;2000,ROUND($E$54*(1.05^(A90-$A$54))/50,0)*50,IF($E$54*(1.05^(A90-$A$54))&lt;10000,ROUND($E$54*(1.05^(A90-$A$54))/100,0)*100,ROUND($E$54*(1.05^(A90-$A$54))/500,0)*500))</x:f>
        <x:v>5800</x:v>
      </x:c>
      <x:c r="F90" s="6" t="n">
        <x:f>ROUND(((250*((2000/250)^((A90-$A$59)/($A$107-$A$59)))*H90)/1000000000)+0.000000001,0)*1000000000</x:f>
        <x:v>43000000000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955.6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IF($E$54*(1.05^(A91-$A$54))&lt;2000,ROUND($E$54*(1.05^(A91-$A$54))/50,0)*50,IF($E$54*(1.05^(A91-$A$54))&lt;10000,ROUND($E$54*(1.05^(A91-$A$54))/100,0)*100,ROUND($E$54*(1.05^(A91-$A$54))/500,0)*500))</x:f>
        <x:v>6100</x:v>
      </x:c>
      <x:c r="F91" s="6" t="n">
        <x:f>ROUND(((250*((2000/250)^((A91-$A$59)/($A$107-$A$59)))*H91)/1000000000)+0.000000001,0)*1000000000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IF($E$54*(1.05^(A92-$A$54))&lt;2000,ROUND($E$54*(1.05^(A92-$A$54))/50,0)*50,IF($E$54*(1.05^(A92-$A$54))&lt;10000,ROUND($E$54*(1.05^(A92-$A$54))/100,0)*100,ROUND($E$54*(1.05^(A92-$A$54))/500,0)*500))</x:f>
        <x:v>6400</x:v>
      </x:c>
      <x:c r="F92" s="6" t="n">
        <x:f>ROUND(((250*((2000/250)^((A92-$A$59)/($A$107-$A$59)))*H92)/1000000000)+0.000000001,0)*1000000000</x:f>
        <x:v>47000000000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1044.4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IF($E$54*(1.05^(A93-$A$54))&lt;2000,ROUND($E$54*(1.05^(A93-$A$54))/50,0)*50,IF($E$54*(1.05^(A93-$A$54))&lt;10000,ROUND($E$54*(1.05^(A93-$A$54))/100,0)*100,ROUND($E$54*(1.05^(A93-$A$54))/500,0)*500))</x:f>
        <x:v>6700</x:v>
      </x:c>
      <x:c r="F93" s="6" t="n">
        <x:f>ROUND((250*((2000/250)^((A93-$A$59)/($A$107-$A$59)))*H93)/10000000000,0)*10000000000</x:f>
        <x:v>50000000000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1111.1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IF($E$54*(1.05^(A94-$A$54))&lt;2000,ROUND($E$54*(1.05^(A94-$A$54))/50,0)*50,IF($E$54*(1.05^(A94-$A$54))&lt;10000,ROUND($E$54*(1.05^(A94-$A$54))/100,0)*100,ROUND($E$54*(1.05^(A94-$A$54))/500,0)*500))</x:f>
        <x:v>7000</x:v>
      </x:c>
      <x:c r="F94" s="6" t="n">
        <x:f>ROUND(((250*((2000/250)^((A94-$A$59)/($A$107-$A$59)))*H94)/1000000000)+0.000000001,0)*1000000000</x:f>
        <x:v>51000000000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1133.3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IF($E$54*(1.05^(A95-$A$54))&lt;2000,ROUND($E$54*(1.05^(A95-$A$54))/50,0)*50,IF($E$54*(1.05^(A95-$A$54))&lt;10000,ROUND($E$54*(1.05^(A95-$A$54))/100,0)*100,ROUND($E$54*(1.05^(A95-$A$54))/500,0)*500))</x:f>
        <x:v>7400</x:v>
      </x:c>
      <x:c r="F95" s="6" t="n">
        <x:f>ROUND(((250*((2000/250)^((A95-$A$59)/($A$107-$A$59)))*H95)/1000000000)+0.000000001,0)*1000000000</x:f>
        <x:v>54000000000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1200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IF($E$54*(1.05^(A96-$A$54))&lt;2000,ROUND($E$54*(1.05^(A96-$A$54))/50,0)*50,IF($E$54*(1.05^(A96-$A$54))&lt;10000,ROUND($E$54*(1.05^(A96-$A$54))/100,0)*100,ROUND($E$54*(1.05^(A96-$A$54))/500,0)*500))</x:f>
        <x:v>7800</x:v>
      </x:c>
      <x:c r="F96" s="6" t="n">
        <x:f>ROUND(((250*((2000/250)^((A96-$A$59)/($A$107-$A$59)))*H96)/1000000000)+0.000000001,0)*1000000000</x:f>
        <x:v>56000000000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1244.4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IF($E$54*(1.05^(A97-$A$54))&lt;2000,ROUND($E$54*(1.05^(A97-$A$54))/50,0)*50,IF($E$54*(1.05^(A97-$A$54))&lt;10000,ROUND($E$54*(1.05^(A97-$A$54))/100,0)*100,ROUND($E$54*(1.05^(A97-$A$54))/500,0)*500))</x:f>
        <x:v>8100</x:v>
      </x:c>
      <x:c r="F97" s="6" t="n">
        <x:f>ROUND(((250*((2000/250)^((A97-$A$59)/($A$107-$A$59)))*H97)/5000000000)+0.000000001,0)*5000000000</x:f>
        <x:v>155000000000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1291.7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IF($E$54*(1.05^(A98-$A$54))&lt;2000,ROUND($E$54*(1.05^(A98-$A$54))/50,0)*50,IF($E$54*(1.05^(A98-$A$54))&lt;10000,ROUND($E$54*(1.05^(A98-$A$54))/100,0)*100,ROUND($E$54*(1.05^(A98-$A$54))/500,0)*500))</x:f>
        <x:v>8600</x:v>
      </x:c>
      <x:c r="F98" s="6" t="n">
        <x:f>ROUND(((250*((2000/250)^((A98-$A$59)/($A$107-$A$59)))*H98)/5000000000)+0.000000001,0)*5000000000</x:f>
        <x:v>165000000000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1375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IF($E$54*(1.05^(A99-$A$54))&lt;2000,ROUND($E$54*(1.05^(A99-$A$54))/50,0)*50,IF($E$54*(1.05^(A99-$A$54))&lt;10000,ROUND($E$54*(1.05^(A99-$A$54))/100,0)*100,ROUND($E$54*(1.05^(A99-$A$54))/500,0)*500))</x:f>
        <x:v>9000</x:v>
      </x:c>
      <x:c r="F99" s="6" t="n">
        <x:f>ROUND(((250*((2000/250)^((A99-$A$59)/($A$107-$A$59)))*H99)/5000000000)+0.000000001,0)*5000000000</x:f>
        <x:v>170000000000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1416.7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IF($E$54*(1.05^(A100-$A$54))&lt;2000,ROUND($E$54*(1.05^(A100-$A$54))/50,0)*50,IF($E$54*(1.05^(A100-$A$54))&lt;10000,ROUND($E$54*(1.05^(A100-$A$54))/100,0)*100,ROUND($E$54*(1.05^(A100-$A$54))/500,0)*500))</x:f>
        <x:v>9400</x:v>
      </x:c>
      <x:c r="F100" s="6" t="n">
        <x:f>ROUND(((250*((2000/250)^((A100-$A$59)/($A$107-$A$59)))*H100)/5000000000)+0.000000001,0)*5000000000</x:f>
        <x:v>175000000000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1458.3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IF($E$54*(1.05^(A101-$A$54))&lt;2000,ROUND($E$54*(1.05^(A101-$A$54))/50,0)*50,IF($E$54*(1.05^(A101-$A$54))&lt;10000,ROUND($E$54*(1.05^(A101-$A$54))/100,0)*100,ROUND($E$54*(1.05^(A101-$A$54))/500,0)*500))</x:f>
        <x:v>9900</x:v>
      </x:c>
      <x:c r="F101" s="6" t="n">
        <x:f>ROUND(((250*((2000/250)^((A101-$A$59)/($A$107-$A$59)))*H101)/5000000000)+0.000000001,0)*5000000000</x:f>
        <x:v>185000000000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1541.7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IF($E$54*(1.05^(A102-$A$54))&lt;2000,ROUND($E$54*(1.05^(A102-$A$54))/50,0)*50,IF($E$54*(1.05^(A102-$A$54))&lt;10000,ROUND($E$54*(1.05^(A102-$A$54))/100,0)*100,ROUND($E$54*(1.05^(A102-$A$54))/500,0)*500))</x:f>
        <x:v>10500</x:v>
      </x:c>
      <x:c r="F102" s="6" t="n">
        <x:f>ROUND(((250*((2000/250)^((A102-$A$59)/($A$107-$A$59)))*H102)/5000000000)+0.000000001,0)*5000000000</x:f>
        <x:v>195000000000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1625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IF($E$54*(1.05^(A103-$A$54))&lt;2000,ROUND($E$54*(1.05^(A103-$A$54))/50,0)*50,IF($E$54*(1.05^(A103-$A$54))&lt;10000,ROUND($E$54*(1.05^(A103-$A$54))/100,0)*100,ROUND($E$54*(1.05^(A103-$A$54))/500,0)*500))</x:f>
        <x:v>11000</x:v>
      </x:c>
      <x:c r="F103" s="6" t="n">
        <x:f>ROUND(((250*((2000/250)^((A103-$A$59)/($A$107-$A$59)))*H103)/5000000000)+0.000000001,0)*5000000000</x:f>
        <x:v>200000000000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1666.7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IF($E$54*(1.05^(A104-$A$54))&lt;2000,ROUND($E$54*(1.05^(A104-$A$54))/50,0)*50,IF($E$54*(1.05^(A104-$A$54))&lt;10000,ROUND($E$54*(1.05^(A104-$A$54))/100,0)*100,ROUND($E$54*(1.05^(A104-$A$54))/500,0)*500))</x:f>
        <x:v>11500</x:v>
      </x:c>
      <x:c r="F104" s="6" t="n">
        <x:f>ROUND(((250*((2000/250)^((A104-$A$59)/($A$107-$A$59)))*H104)/5000000000)+0.000000001,0)*5000000000</x:f>
        <x:v>210000000000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1750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IF($E$54*(1.05^(A105-$A$54))&lt;2000,ROUND($E$54*(1.05^(A105-$A$54))/50,0)*50,IF($E$54*(1.05^(A105-$A$54))&lt;10000,ROUND($E$54*(1.05^(A105-$A$54))/100,0)*100,ROUND($E$54*(1.05^(A105-$A$54))/500,0)*500))</x:f>
        <x:v>12000</x:v>
      </x:c>
      <x:c r="F105" s="6" t="n">
        <x:f>ROUND(((250*((2000/250)^((A105-$A$59)/($A$107-$A$59)))*H105)/5000000000)+0.000000001,0)*5000000000</x:f>
        <x:v>220000000000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1833.3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IF($E$54*(1.05^(A106-$A$54))&lt;2000,ROUND($E$54*(1.05^(A106-$A$54))/50,0)*50,IF($E$54*(1.05^(A106-$A$54))&lt;10000,ROUND($E$54*(1.05^(A106-$A$54))/100,0)*100,ROUND($E$54*(1.05^(A106-$A$54))/500,0)*500))</x:f>
        <x:v>12500</x:v>
      </x:c>
      <x:c r="F106" s="6" t="n">
        <x:f>ROUND(((250*((2000/250)^((A106-$A$59)/($A$107-$A$59)))*H106)/5000000000)+0.000000001,0)*5000000000</x:f>
        <x:v>230000000000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1916.7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IF($E$54*(1.05^(A107-$A$54))&lt;2000,ROUND($E$54*(1.05^(A107-$A$54))/50,0)*50,IF($E$54*(1.05^(A107-$A$54))&lt;10000,ROUND($E$54*(1.05^(A107-$A$54))/100,0)*100,ROUND($E$54*(1.05^(A107-$A$54))/500,0)*500))</x:f>
        <x:v>13500</x:v>
      </x:c>
      <x:c r="F107" s="6" t="n">
        <x:f>ROUND(((250*((2000/250)^((A107-$A$59)/($A$107-$A$59)))*H107)/5000000000)+0.000000001,0)*5000000000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30e0a810aac14392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tr">
        <x:v>AppleTreeSeed</x:v>
      </x:c>
      <x:c r="B2" s="2" t="str">
        <x:v>Apple Tree Seed</x:v>
      </x:c>
      <x:c r="C2" s="2" t="str">
        <x:v>AppleTree</x:v>
      </x:c>
      <x:c r="D2" s="2" t="str">
        <x:v>Common</x:v>
      </x:c>
      <x:c r="E2" s="5" t="n">
        <x:v>2</x:v>
      </x:c>
      <x:c r="F2" s="2" t="str">
        <x:f t="shared" ref="F2:F21" si="1">"1 in "&amp;E2</x:f>
        <x:v>1 in 2</x:v>
      </x:c>
      <x:c r="G2" s="2" t="str">
        <x:v>Pet1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 t="n">
        <x:v>2</x:v>
      </x:c>
      <x:c r="K2" s="5" t="n">
        <x:f t="shared" ref="K2:K21" si="2">I2*60*J2</x:f>
        <x:v>120</x:v>
      </x:c>
      <x:c r="L2" s="5" t="n">
        <x:v>50</x:v>
      </x:c>
      <x:c r="M2" s="5" t="n">
        <x:f t="shared" ref="M2:M21" si="3">L2-K2</x:f>
        <x:v>-70</x:v>
      </x:c>
    </x:row>
    <x:row r="3">
      <x:c r="A3" s="2" t="str">
        <x:v>PumpkinSeed</x:v>
      </x:c>
      <x:c r="B3" s="2" t="str">
        <x:v>Pumpkin Seed</x:v>
      </x:c>
      <x:c r="C3" s="2" t="str">
        <x:v>PumpkinPatch</x:v>
      </x:c>
      <x:c r="D3" s="2" t="str">
        <x:v>Common</x:v>
      </x:c>
      <x:c r="E3" s="5" t="n">
        <x:v>3</x:v>
      </x:c>
      <x:c r="F3" s="2" t="str">
        <x:f t="shared" si="1">"1 in "&amp;E3</x:f>
        <x:v>1 in 3</x:v>
      </x:c>
      <x:c r="G3" s="2" t="str">
        <x:v>Pet4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 t="n">
        <x:v>2</x:v>
      </x:c>
      <x:c r="K3" s="5" t="n">
        <x:f t="shared" si="2">I3*60*J3</x:f>
        <x:v>600</x:v>
      </x:c>
      <x:c r="L3" s="5" t="n">
        <x:v>100</x:v>
      </x:c>
      <x:c r="M3" s="5" t="n">
        <x:f t="shared" si="3">L3-K3</x:f>
        <x:v>-500</x:v>
      </x:c>
    </x:row>
    <x:row r="4">
      <x:c r="A4" s="2" t="str">
        <x:v>CabbageSeed</x:v>
      </x:c>
      <x:c r="B4" s="2" t="str">
        <x:v>Cabbage Seed</x:v>
      </x:c>
      <x:c r="C4" s="2" t="str">
        <x:v>CabbagePatch</x:v>
      </x:c>
      <x:c r="D4" s="2" t="str">
        <x:v>Common</x:v>
      </x:c>
      <x:c r="E4" s="5" t="n">
        <x:v>16</x:v>
      </x:c>
      <x:c r="F4" s="2" t="str">
        <x:f t="shared" si="1">"1 in "&amp;E4</x:f>
        <x:v>1 in 16</x:v>
      </x:c>
      <x:c r="G4" s="2" t="str">
        <x:v>Pet6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 t="n">
        <x:v>2</x:v>
      </x:c>
      <x:c r="K4" s="5" t="n">
        <x:f t="shared" si="2">I4*60*J4</x:f>
        <x:v>960</x:v>
      </x:c>
      <x:c r="L4" s="5" t="n">
        <x:v>500</x:v>
      </x:c>
      <x:c r="M4" s="5" t="n">
        <x:f t="shared" si="3">L4-K4</x:f>
        <x:v>-460</x:v>
      </x:c>
    </x:row>
    <x:row r="5">
      <x:c r="A5" s="2" t="str">
        <x:v>PotatoSeed</x:v>
      </x:c>
      <x:c r="B5" s="2" t="str">
        <x:v>Potato Seed</x:v>
      </x:c>
      <x:c r="C5" s="2" t="str">
        <x:v>PotatoPatch</x:v>
      </x:c>
      <x:c r="D5" s="2" t="str">
        <x:v>Rare</x:v>
      </x:c>
      <x:c r="E5" s="5" t="n">
        <x:v>28</x:v>
      </x:c>
      <x:c r="F5" s="2" t="str">
        <x:f t="shared" si="1">"1 in "&amp;E5</x:f>
        <x:v>1 in 28</x:v>
      </x:c>
      <x:c r="G5" s="2" t="str">
        <x:v>Pet9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 t="n">
        <x:v>2</x:v>
      </x:c>
      <x:c r="K5" s="5" t="n">
        <x:f t="shared" si="2">I5*60*J5</x:f>
        <x:v>1440</x:v>
      </x:c>
      <x:c r="L5" s="5" t="n">
        <x:v>1500</x:v>
      </x:c>
      <x:c r="M5" s="5" t="n">
        <x:f t="shared" si="3">L5-K5</x:f>
        <x:v>60</x:v>
      </x:c>
    </x:row>
    <x:row r="6">
      <x:c r="A6" s="2" t="str">
        <x:v>OrangeTreeSeed</x:v>
      </x:c>
      <x:c r="B6" s="2" t="str">
        <x:v>Orange Tree Seed</x:v>
      </x:c>
      <x:c r="C6" s="2" t="str">
        <x:v>OrangeTree</x:v>
      </x:c>
      <x:c r="D6" s="2" t="str">
        <x:v>Rare</x:v>
      </x:c>
      <x:c r="E6" s="5" t="n">
        <x:v>45</x:v>
      </x:c>
      <x:c r="F6" s="2" t="str">
        <x:f t="shared" si="1">"1 in "&amp;E6</x:f>
        <x:v>1 in 45</x:v>
      </x:c>
      <x:c r="G6" s="2" t="str">
        <x:v>Pet12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 t="n">
        <x:v>2</x:v>
      </x:c>
      <x:c r="K6" s="5" t="n">
        <x:f t="shared" si="2">I6*60*J6</x:f>
        <x:v>2040</x:v>
      </x:c>
      <x:c r="L6" s="5" t="n">
        <x:v>2000</x:v>
      </x:c>
      <x:c r="M6" s="5" t="n">
        <x:f t="shared" si="3">L6-K6</x:f>
        <x:v>-40</x:v>
      </x:c>
    </x:row>
    <x:row r="7">
      <x:c r="A7" s="2" t="str">
        <x:v>WatermelonSeed</x:v>
      </x:c>
      <x:c r="B7" s="2" t="str">
        <x:v>Watermelon Seed</x:v>
      </x:c>
      <x:c r="C7" s="2" t="str">
        <x:v>WatermelonPatch</x:v>
      </x:c>
      <x:c r="D7" s="2" t="str">
        <x:v>Rare</x:v>
      </x:c>
      <x:c r="E7" s="5" t="n">
        <x:v>75</x:v>
      </x:c>
      <x:c r="F7" s="2" t="str">
        <x:f t="shared" si="1">"1 in "&amp;E7</x:f>
        <x:v>1 in 75</x:v>
      </x:c>
      <x:c r="G7" s="2" t="str">
        <x:v>Pet15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 t="n">
        <x:v>2</x:v>
      </x:c>
      <x:c r="K7" s="5" t="n">
        <x:f t="shared" si="2">I7*60*J7</x:f>
        <x:v>2880</x:v>
      </x:c>
      <x:c r="L7" s="5" t="n">
        <x:v>3000</x:v>
      </x:c>
      <x:c r="M7" s="5" t="n">
        <x:f t="shared" si="3">L7-K7</x:f>
        <x:v>120</x:v>
      </x:c>
    </x:row>
    <x:row r="8">
      <x:c r="A8" s="2" t="str">
        <x:v>PlumTreeSeed</x:v>
      </x:c>
      <x:c r="B8" s="2" t="str">
        <x:v>Plum Tree Seed</x:v>
      </x:c>
      <x:c r="C8" s="2" t="str">
        <x:v>PlumTree</x:v>
      </x:c>
      <x:c r="D8" s="2" t="str">
        <x:v>Rare</x:v>
      </x:c>
      <x:c r="E8" s="5" t="n">
        <x:v>256</x:v>
      </x:c>
      <x:c r="F8" s="2" t="str">
        <x:f t="shared" si="1">"1 in "&amp;E8</x:f>
        <x:v>1 in 256</x:v>
      </x:c>
      <x:c r="G8" s="2" t="str">
        <x:v>Pet17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 t="n">
        <x:v>2</x:v>
      </x:c>
      <x:c r="K8" s="5" t="n">
        <x:f t="shared" si="2">I8*60*J8</x:f>
        <x:v>3600</x:v>
      </x:c>
      <x:c r="L8" s="5" t="n">
        <x:v>3500</x:v>
      </x:c>
      <x:c r="M8" s="5" t="n">
        <x:f t="shared" si="3">L8-K8</x:f>
        <x:v>-100</x:v>
      </x:c>
    </x:row>
    <x:row r="9">
      <x:c r="A9" s="2" t="str">
        <x:v>CornSeed</x:v>
      </x:c>
      <x:c r="B9" s="2" t="str">
        <x:v>Corn Seed</x:v>
      </x:c>
      <x:c r="C9" s="2" t="str">
        <x:v>CornPatch</x:v>
      </x:c>
      <x:c r="D9" s="2" t="str">
        <x:v>Epic</x:v>
      </x:c>
      <x:c r="E9" s="5" t="n">
        <x:v>427</x:v>
      </x:c>
      <x:c r="F9" s="2" t="str">
        <x:f t="shared" si="1">"1 in "&amp;E9</x:f>
        <x:v>1 in 427</x:v>
      </x:c>
      <x:c r="G9" s="2" t="str">
        <x:v>Pet20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 t="n">
        <x:v>2</x:v>
      </x:c>
      <x:c r="K9" s="5" t="n">
        <x:f t="shared" si="2">I9*60*J9</x:f>
        <x:v>4800</x:v>
      </x:c>
      <x:c r="L9" s="5" t="n">
        <x:v>5000</x:v>
      </x:c>
      <x:c r="M9" s="5" t="n">
        <x:f t="shared" si="3">L9-K9</x:f>
        <x:v>200</x:v>
      </x:c>
    </x:row>
    <x:row r="10">
      <x:c r="A10" s="2" t="str">
        <x:v>CherryTreeSeed</x:v>
      </x:c>
      <x:c r="B10" s="2" t="str">
        <x:v>Cherry Tree Seed</x:v>
      </x:c>
      <x:c r="C10" s="2" t="str">
        <x:v>CherryTree</x:v>
      </x:c>
      <x:c r="D10" s="2" t="str">
        <x:v>Epic</x:v>
      </x:c>
      <x:c r="E10" s="5" t="n">
        <x:v>512</x:v>
      </x:c>
      <x:c r="F10" s="2" t="str">
        <x:f t="shared" si="1">"1 in "&amp;E10</x:f>
        <x:v>1 in 512</x:v>
      </x:c>
      <x:c r="G10" s="2" t="str">
        <x:v>Pet23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 t="n">
        <x:v>2</x:v>
      </x:c>
      <x:c r="K10" s="5" t="n">
        <x:f t="shared" si="2">I10*60*J10</x:f>
        <x:v>7560</x:v>
      </x:c>
      <x:c r="L10" s="5" t="n">
        <x:v>7500</x:v>
      </x:c>
      <x:c r="M10" s="5" t="n">
        <x:f t="shared" si="3">L10-K10</x:f>
        <x:v>-60</x:v>
      </x:c>
    </x:row>
    <x:row r="11">
      <x:c r="A11" s="2" t="str">
        <x:v>MushroomSeed</x:v>
      </x:c>
      <x:c r="B11" s="2" t="str">
        <x:v>Mushroom Seed</x:v>
      </x:c>
      <x:c r="C11" s="2" t="str">
        <x:v>MushroomPatch</x:v>
      </x:c>
      <x:c r="D11" s="2" t="str">
        <x:v>Epic</x:v>
      </x:c>
      <x:c r="E11" s="5" t="n">
        <x:v>640</x:v>
      </x:c>
      <x:c r="F11" s="2" t="str">
        <x:f t="shared" si="1">"1 in "&amp;E11</x:f>
        <x:v>1 in 640</x:v>
      </x:c>
      <x:c r="G11" s="2" t="str">
        <x:v>Pet26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 t="n">
        <x:v>2</x:v>
      </x:c>
      <x:c r="K11" s="5" t="n">
        <x:f t="shared" si="2">I11*60*J11</x:f>
        <x:v>10800</x:v>
      </x:c>
      <x:c r="L11" s="5" t="n">
        <x:v>10000</x:v>
      </x:c>
      <x:c r="M11" s="5" t="n">
        <x:f t="shared" si="3">L11-K11</x:f>
        <x:v>-800</x:v>
      </x:c>
    </x:row>
    <x:row r="12">
      <x:c r="A12" s="2" t="str">
        <x:v>BananaTreeSeed</x:v>
      </x:c>
      <x:c r="B12" s="2" t="str">
        <x:v>Banana Tree Seed</x:v>
      </x:c>
      <x:c r="C12" s="2" t="str">
        <x:v>BananaTree</x:v>
      </x:c>
      <x:c r="D12" s="2" t="str">
        <x:v>Epic</x:v>
      </x:c>
      <x:c r="E12" s="5" t="n">
        <x:v>853</x:v>
      </x:c>
      <x:c r="F12" s="2" t="str">
        <x:f t="shared" si="1">"1 in "&amp;E12</x:f>
        <x:v>1 in 853</x:v>
      </x:c>
      <x:c r="G12" s="2" t="str">
        <x:v>Pet28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 t="n">
        <x:v>2</x:v>
      </x:c>
      <x:c r="K12" s="5" t="n">
        <x:f t="shared" si="2">I12*60*J12</x:f>
        <x:v>13560</x:v>
      </x:c>
      <x:c r="L12" s="5" t="n">
        <x:v>12500</x:v>
      </x:c>
      <x:c r="M12" s="5" t="n">
        <x:f t="shared" si="3">L12-K12</x:f>
        <x:v>-1060</x:v>
      </x:c>
    </x:row>
    <x:row r="13">
      <x:c r="A13" s="2" t="str">
        <x:v>CactusSeed</x:v>
      </x:c>
      <x:c r="B13" s="2" t="str">
        <x:v>Cactus Seed</x:v>
      </x:c>
      <x:c r="C13" s="2" t="str">
        <x:v>Cactus</x:v>
      </x:c>
      <x:c r="D13" s="2" t="str">
        <x:v>Epic</x:v>
      </x:c>
      <x:c r="E13" s="5" t="n">
        <x:v>1200</x:v>
      </x:c>
      <x:c r="F13" s="2" t="str">
        <x:f t="shared" si="1">"1 in "&amp;E13</x:f>
        <x:v>1 in 1200</x:v>
      </x:c>
      <x:c r="G13" s="2" t="str">
        <x:v>Pet31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 t="n">
        <x:v>2</x:v>
      </x:c>
      <x:c r="K13" s="5" t="n">
        <x:f t="shared" si="2">I13*60*J13</x:f>
        <x:v>18600</x:v>
      </x:c>
      <x:c r="L13" s="5" t="n">
        <x:v>15000</x:v>
      </x:c>
      <x:c r="M13" s="5" t="n">
        <x:f t="shared" si="3">L13-K13</x:f>
        <x:v>-3600</x:v>
      </x:c>
    </x:row>
    <x:row r="14">
      <x:c r="A14" s="2" t="str">
        <x:v>PineappleSeed</x:v>
      </x:c>
      <x:c r="B14" s="2" t="str">
        <x:v>Pineapple Seed</x:v>
      </x:c>
      <x:c r="C14" s="2" t="str">
        <x:v>PineapplePatch</x:v>
      </x:c>
      <x:c r="D14" s="2" t="str">
        <x:v>Legendary</x:v>
      </x:c>
      <x:c r="E14" s="5" t="n">
        <x:v>1707</x:v>
      </x:c>
      <x:c r="F14" s="2" t="str">
        <x:f t="shared" si="1">"1 in "&amp;E14</x:f>
        <x:v>1 in 1707</x:v>
      </x:c>
      <x:c r="G14" s="2" t="str">
        <x:v>Pet34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 t="n">
        <x:v>2</x:v>
      </x:c>
      <x:c r="K14" s="5" t="n">
        <x:f t="shared" si="2">I14*60*J14</x:f>
        <x:v>24840</x:v>
      </x:c>
      <x:c r="L14" s="5" t="n">
        <x:v>25000</x:v>
      </x:c>
      <x:c r="M14" s="5" t="n">
        <x:f t="shared" si="3">L14-K14</x:f>
        <x:v>160</x:v>
      </x:c>
    </x:row>
    <x:row r="15">
      <x:c r="A15" s="2" t="str">
        <x:v>FigTreeSeed</x:v>
      </x:c>
      <x:c r="B15" s="2" t="str">
        <x:v>Fig Tree Seed</x:v>
      </x:c>
      <x:c r="C15" s="2" t="str">
        <x:v>FigTree</x:v>
      </x:c>
      <x:c r="D15" s="2" t="str">
        <x:v>Legendary</x:v>
      </x:c>
      <x:c r="E15" s="5" t="n">
        <x:v>2560</x:v>
      </x:c>
      <x:c r="F15" s="2" t="str">
        <x:f t="shared" si="1">"1 in "&amp;E15</x:f>
        <x:v>1 in 2560</x:v>
      </x:c>
      <x:c r="G15" s="2" t="str">
        <x:v>Pet37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 t="n">
        <x:v>2</x:v>
      </x:c>
      <x:c r="K15" s="5" t="n">
        <x:f t="shared" si="2">I15*60*J15</x:f>
        <x:v>36000</x:v>
      </x:c>
      <x:c r="L15" s="5" t="n">
        <x:v>35000</x:v>
      </x:c>
      <x:c r="M15" s="5" t="n">
        <x:f t="shared" si="3">L15-K15</x:f>
        <x:v>-1000</x:v>
      </x:c>
    </x:row>
    <x:row r="16">
      <x:c r="A16" s="2" t="str">
        <x:v>PurpleShroomSeed</x:v>
      </x:c>
      <x:c r="B16" s="2" t="str">
        <x:v>Purple Shroom Seed</x:v>
      </x:c>
      <x:c r="C16" s="2" t="str">
        <x:v>PurpleShroomPatch</x:v>
      </x:c>
      <x:c r="D16" s="2" t="str">
        <x:v>Legendary</x:v>
      </x:c>
      <x:c r="E16" s="5" t="n">
        <x:v>32000</x:v>
      </x:c>
      <x:c r="F16" s="2" t="str">
        <x:f t="shared" si="1">"1 in "&amp;E16</x:f>
        <x:v>1 in 32000</x:v>
      </x:c>
      <x:c r="G16" s="2" t="str">
        <x:v>Pet39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 t="n">
        <x:v>2</x:v>
      </x:c>
      <x:c r="K16" s="5" t="n">
        <x:f t="shared" si="2">I16*60*J16</x:f>
        <x:v>43200</x:v>
      </x:c>
      <x:c r="L16" s="5" t="n">
        <x:v>40000</x:v>
      </x:c>
      <x:c r="M16" s="5" t="n">
        <x:f t="shared" si="3">L16-K16</x:f>
        <x:v>-3200</x:v>
      </x:c>
    </x:row>
    <x:row r="17">
      <x:c r="A17" s="2" t="str">
        <x:v>BloodOrangeTreeSeed</x:v>
      </x:c>
      <x:c r="B17" s="2" t="str">
        <x:v>Blood Orange Tree Seed</x:v>
      </x:c>
      <x:c r="C17" s="2" t="str">
        <x:v>BloodOrangeTree</x:v>
      </x:c>
      <x:c r="D17" s="2" t="str">
        <x:v>Legendary</x:v>
      </x:c>
      <x:c r="E17" s="5" t="n">
        <x:v>42667</x:v>
      </x:c>
      <x:c r="F17" s="2" t="str">
        <x:f t="shared" si="1">"1 in "&amp;E17</x:f>
        <x:v>1 in 42667</x:v>
      </x:c>
      <x:c r="G17" s="2" t="str">
        <x:v>Pet42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 t="n">
        <x:v>2</x:v>
      </x:c>
      <x:c r="K17" s="5" t="n">
        <x:f t="shared" si="2">I17*60*J17</x:f>
        <x:v>56400</x:v>
      </x:c>
      <x:c r="L17" s="5" t="n">
        <x:v>50000</x:v>
      </x:c>
      <x:c r="M17" s="5" t="n">
        <x:f t="shared" si="3">L17-K17</x:f>
        <x:v>-6400</x:v>
      </x:c>
    </x:row>
    <x:row r="18">
      <x:c r="A18" s="2" t="str">
        <x:v>GlowshroomSeed</x:v>
      </x:c>
      <x:c r="B18" s="2" t="str">
        <x:v>Glowshroom Seed</x:v>
      </x:c>
      <x:c r="C18" s="2" t="str">
        <x:v>GlowshroomPatch</x:v>
      </x:c>
      <x:c r="D18" s="2" t="str">
        <x:v>Mythical</x:v>
      </x:c>
      <x:c r="E18" s="5" t="n">
        <x:v>64000</x:v>
      </x:c>
      <x:c r="F18" s="2" t="str">
        <x:f t="shared" si="1">"1 in "&amp;E18</x:f>
        <x:v>1 in 64000</x:v>
      </x:c>
      <x:c r="G18" s="2" t="str">
        <x:v>Pet45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 t="n">
        <x:v>2</x:v>
      </x:c>
      <x:c r="K18" s="5" t="n">
        <x:f t="shared" si="2">I18*60*J18</x:f>
        <x:v>71400</x:v>
      </x:c>
      <x:c r="L18" s="5" t="n">
        <x:v>70000</x:v>
      </x:c>
      <x:c r="M18" s="5" t="n">
        <x:f t="shared" si="3">L18-K18</x:f>
        <x:v>-1400</x:v>
      </x:c>
    </x:row>
    <x:row r="19">
      <x:c r="A19" s="2" t="str">
        <x:v>DragonfruitTreeSeed</x:v>
      </x:c>
      <x:c r="B19" s="2" t="str">
        <x:v>Dragonfruit Tree Seed</x:v>
      </x:c>
      <x:c r="C19" s="2" t="str">
        <x:v>DragonfruitTree</x:v>
      </x:c>
      <x:c r="D19" s="2" t="str">
        <x:v>Mythical</x:v>
      </x:c>
      <x:c r="E19" s="5" t="n">
        <x:v>85333</x:v>
      </x:c>
      <x:c r="F19" s="2" t="str">
        <x:f t="shared" si="1">"1 in "&amp;E19</x:f>
        <x:v>1 in 85333</x:v>
      </x:c>
      <x:c r="G19" s="2" t="str">
        <x:v>Pet48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 t="n">
        <x:v>2</x:v>
      </x:c>
      <x:c r="K19" s="5" t="n">
        <x:f t="shared" si="2">I19*60*J19</x:f>
        <x:v>89400</x:v>
      </x:c>
      <x:c r="L19" s="5" t="n">
        <x:v>85000</x:v>
      </x:c>
      <x:c r="M19" s="5" t="n">
        <x:f t="shared" si="3">L19-K19</x:f>
        <x:v>-4400</x:v>
      </x:c>
    </x:row>
    <x:row r="20">
      <x:c r="A20" s="2" t="str">
        <x:v>LegendarySeedPlaceholder</x:v>
      </x:c>
      <x:c r="B20" s="2" t="str">
        <x:v>[LEGENDARYSEEDHERE]</x:v>
      </x:c>
      <x:c r="C20" s="2" t="str">
        <x:v>LegendaryFeedPlaceholder</x:v>
      </x:c>
      <x:c r="D20" s="2" t="str">
        <x:v>Mythical</x:v>
      </x:c>
      <x:c r="E20" s="5" t="n">
        <x:v>250000</x:v>
      </x:c>
      <x:c r="F20" s="2" t="str">
        <x:f t="shared" si="1">"1 in "&amp;E20</x:f>
        <x:v>1 in 250000</x:v>
      </x:c>
      <x:c r="G20" s="2" t="str">
        <x:v>Pet54</x:v>
      </x:c>
      <x:c r="H20" s="2" t="str">
        <x:f>VLOOKUP(G20,'Pets'!$B$2:$E$107,2,FALSE)</x:f>
        <x:v>Golden Chicken</x:v>
      </x:c>
      <x:c r="I20" s="5" t="n">
        <x:f>VLOOKUP(G20,'Pets'!$B$2:$E$107,4,FALSE)</x:f>
        <x:v>1050</x:v>
      </x:c>
      <x:c r="J20" s="5" t="n">
        <x:f>'Assumptions'!$B$2</x:f>
        <x:v>3</x:v>
      </x:c>
      <x:c r="K20" s="5" t="n">
        <x:f t="shared" si="2">I20*60*J20</x:f>
        <x:v>189000</x:v>
      </x:c>
      <x:c r="L20" s="5" t="n">
        <x:v>190000</x:v>
      </x:c>
      <x:c r="M20" s="5" t="n">
        <x:f t="shared" si="3">L20-K20</x:f>
        <x:v>1000</x:v>
      </x:c>
    </x:row>
    <x:row r="21" ht="15.75" customHeight="1">
      <x:c r="A21" s="2" t="str">
        <x:v>MythicalSeedPlaceholder1</x:v>
      </x:c>
      <x:c r="B21" s="2" t="str">
        <x:v>[MYTHICSEEDHERE1]</x:v>
      </x:c>
      <x:c r="C21" s="2" t="str">
        <x:v>MythicalFeedPlaceholder1</x:v>
      </x:c>
      <x:c r="D21" s="2" t="str">
        <x:v>Secret</x:v>
      </x:c>
      <x:c r="E21" s="5" t="n">
        <x:v>1000000</x:v>
      </x:c>
      <x:c r="F21" s="2" t="str">
        <x:f t="shared" si="1">"1 in "&amp;E21</x:f>
        <x:v>1 in 1000000</x:v>
      </x:c>
      <x:c r="G21" s="2" t="str">
        <x:v>Pet65</x:v>
      </x:c>
      <x:c r="H21" s="2" t="str">
        <x:f>VLOOKUP(G21,'Pets'!$B$2:$E$107,2,FALSE)</x:f>
        <x:v>Golden Bull</x:v>
      </x:c>
      <x:c r="I21" s="5" t="n">
        <x:f>VLOOKUP(G21,'Pets'!$B$2:$E$107,4,FALSE)</x:f>
        <x:v>1800</x:v>
      </x:c>
      <x:c r="J21" s="5" t="n">
        <x:f>'Assumptions'!$B$2</x:f>
        <x:v>3</x:v>
      </x:c>
      <x:c r="K21" s="5" t="n">
        <x:f t="shared" si="2">I21*60*J21</x:f>
        <x:v>324000</x:v>
      </x:c>
      <x:c r="L21" s="5" t="n">
        <x:v>325000</x:v>
      </x:c>
      <x:c r="M21" s="5" t="n">
        <x:f t="shared" si="3">L21-K21</x:f>
        <x:v>1000</x:v>
      </x:c>
    </x:row>
    <x:row r="22" ht="15.75" customHeight="1">
      <x:c r="A22" t="str">
        <x:v>GoldenAppleTreeSeed</x:v>
      </x:c>
      <x:c r="B22" t="str">
        <x:v>Golden Apple Tree Seed</x:v>
      </x:c>
      <x:c r="C22" t="str">
        <x:v>GoldenAppleTree</x:v>
      </x:c>
      <x:c r="D22" t="str">
        <x:v>Secret</x:v>
      </x:c>
      <x:c r="E22" s="6" t="n">
        <x:v>1200000</x:v>
      </x:c>
      <x:c r="F22" t="str">
        <x:f>"1 in "&amp;E22</x:f>
        <x:v>1 in 1200000</x:v>
      </x:c>
      <x:c r="G22" t="str">
        <x:v>Pet50</x:v>
      </x:c>
      <x:c r="H22" t="str">
        <x:f>VLOOKUP(G22,'Pets'!$B$2:$E$107,2,FALSE)</x:f>
        <x:v>Mammoth</x:v>
      </x:c>
      <x:c r="I22" s="6" t="n">
        <x:f>VLOOKUP(G22,'Pets'!$B$2:$E$107,4,FALSE)</x:f>
        <x:v>850</x:v>
      </x:c>
      <x:c r="J22" s="6" t="n">
        <x:v>2</x:v>
      </x:c>
      <x:c r="K22" s="6" t="n">
        <x:f>I22*60*J22</x:f>
        <x:v>102000</x:v>
      </x:c>
      <x:c r="L22" s="6" t="n">
        <x:v>100000</x:v>
      </x:c>
      <x:c r="M22" s="6" t="n">
        <x:f>L22-K22</x:f>
        <x:v>-2000</x:v>
      </x:c>
    </x:row>
    <x:row r="23" ht="15.75" customHeight="1">
      <x:c r="A23" t="str">
        <x:v>MythicalSeedPlaceholder2</x:v>
      </x:c>
      <x:c r="B23" t="str">
        <x:v>[MYTHICSEEDHERE2]</x:v>
      </x:c>
      <x:c r="C23" t="str">
        <x:v>MythicalFeedPlaceholder2</x:v>
      </x:c>
      <x:c r="D23" t="str">
        <x:v>Secret</x:v>
      </x:c>
      <x:c r="E23" s="6" t="n">
        <x:v>2500000</x:v>
      </x:c>
      <x:c r="F23" t="str">
        <x:f>"1 in "&amp;E23</x:f>
        <x:v>1 in 2500000</x:v>
      </x:c>
      <x:c r="G23" t="str">
        <x:v>Pet75</x:v>
      </x:c>
      <x:c r="H23" t="str">
        <x:f>VLOOKUP(G23,'Pets'!$B$2:$E$107,2,FALSE)</x:f>
        <x:v>Golden Crab</x:v>
      </x:c>
      <x:c r="I23" s="6" t="n">
        <x:f>VLOOKUP(G23,'Pets'!$B$2:$E$107,4,FALSE)</x:f>
        <x:v>2900</x:v>
      </x:c>
      <x:c r="J23" s="6" t="n">
        <x:f>'Assumptions'!$B$2</x:f>
        <x:v>3</x:v>
      </x:c>
      <x:c r="K23" s="6" t="n">
        <x:f>I23*60*J23</x:f>
        <x:v>522000</x:v>
      </x:c>
      <x:c r="L23" s="6" t="n">
        <x:v>525000</x:v>
      </x:c>
      <x:c r="M23" s="6" t="n">
        <x:f>L23-K23</x:f>
        <x:v>3000</x:v>
      </x:c>
    </x:row>
    <x:row r="24" ht="15.75" customHeight="1">
      <x:c r="A24" t="str">
        <x:v>DurianTreeSeed</x:v>
      </x:c>
      <x:c r="B24" t="str">
        <x:v>Durian Tree Seed</x:v>
      </x:c>
      <x:c r="C24" t="str">
        <x:v>DurianTree</x:v>
      </x:c>
      <x:c r="D24" t="str">
        <x:v>Secret</x:v>
      </x:c>
      <x:c r="E24" s="6" t="n">
        <x:v>5120000</x:v>
      </x:c>
      <x:c r="F24" t="str">
        <x:f>"1 in "&amp;E24</x:f>
        <x:v>1 in 5120000</x:v>
      </x:c>
      <x:c r="G24" t="str">
        <x:v>Pet53</x:v>
      </x:c>
      <x:c r="H24" t="str">
        <x:f>VLOOKUP(G24,'Pets'!$B$2:$E$107,2,FALSE)</x:f>
        <x:v>Unicorn</x:v>
      </x:c>
      <x:c r="I24" s="6" t="n">
        <x:f>VLOOKUP(G24,'Pets'!$B$2:$E$107,4,FALSE)</x:f>
        <x:v>1000</x:v>
      </x:c>
      <x:c r="J24" s="6" t="n">
        <x:v>2</x:v>
      </x:c>
      <x:c r="K24" s="6" t="n">
        <x:f>I24*60*J24</x:f>
        <x:v>120000</x:v>
      </x:c>
      <x:c r="L24" s="6" t="n">
        <x:v>120000</x:v>
      </x:c>
      <x:c r="M24" s="6" t="n">
        <x:f>L24-K24</x:f>
        <x:v>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5000</x:v>
      </x:c>
      <x:c r="J25" s="6" t="n">
        <x:f>'Assumptions'!$B$2</x:f>
        <x:v>3</x:v>
      </x:c>
      <x:c r="K25" s="6" t="n">
        <x:f>I25*60*J25</x:f>
        <x:v>900000</x:v>
      </x:c>
      <x:c r="L25" s="6" t="n">
        <x:v>900000</x:v>
      </x:c>
      <x:c r="M25" s="6" t="n">
        <x:f>L25-K25</x:f>
        <x:v>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8100</x:v>
      </x:c>
      <x:c r="J26" s="6" t="n">
        <x:f>'Assumptions'!$B$2</x:f>
        <x:v>3</x:v>
      </x:c>
      <x:c r="K26" s="6" t="n">
        <x:f>I26*60*J26</x:f>
        <x:v>1458000</x:v>
      </x:c>
      <x:c r="L26" s="6" t="n">
        <x:v>1500000</x:v>
      </x:c>
      <x:c r="M26" s="6" t="n">
        <x:f>L26-K26</x:f>
        <x:v>42000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80</x:v>
      </x:c>
      <x:c r="B1" s="1" t="s">
        <x:v>81</x:v>
      </x:c>
      <x:c r="C1" s="1" t="s">
        <x:v>82</x:v>
      </x:c>
      <x:c r="D1" s="1" t="s">
        <x:v>78</x:v>
      </x:c>
      <x:c r="E1" s="1" t="s">
        <x:v>83</x:v>
      </x:c>
      <x:c r="F1" s="1" t="s">
        <x:v>84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85</x:v>
      </x:c>
      <x:c r="B1" s="1" t="s">
        <x:v>86</x:v>
      </x:c>
      <x:c r="C1" s="1" t="s">
        <x:v>87</x:v>
      </x:c>
      <x:c r="D1" s="1" t="s">
        <x:v>83</x:v>
      </x:c>
    </x:row>
    <x:row r="2">
      <x:c r="A2" s="2">
        <x:v>1.0</x:v>
      </x:c>
      <x:c r="B2" s="2" t="s">
        <x:v>88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89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90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91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92</x:v>
      </x:c>
      <x:c r="B1" s="1" t="s">
        <x:v>93</x:v>
      </x:c>
      <x:c r="C1" s="1" t="s">
        <x:v>94</x:v>
      </x:c>
      <x:c r="D1" s="1" t="s">
        <x:v>95</x:v>
      </x:c>
      <x:c r="E1" s="1" t="s">
        <x:v>96</x:v>
      </x:c>
      <x:c r="F1" s="1" t="s">
        <x:v>97</x:v>
      </x:c>
      <x:c r="G1" s="1" t="s">
        <x:v>98</x:v>
      </x:c>
      <x:c r="H1" s="1" t="s">
        <x:v>99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100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101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102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103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104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