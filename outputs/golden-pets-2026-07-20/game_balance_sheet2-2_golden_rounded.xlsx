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43f35ce0c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fd7889ba1a5493d"/>
    <x:sheet xmlns:r="http://schemas.openxmlformats.org/officeDocument/2006/relationships" name="Assumptions" sheetId="2" r:id="Rb2ada92f6ec94813"/>
    <x:sheet xmlns:r="http://schemas.openxmlformats.org/officeDocument/2006/relationships" name="Feeds" sheetId="3" r:id="R88fab165b70b4bac"/>
    <x:sheet xmlns:r="http://schemas.openxmlformats.org/officeDocument/2006/relationships" name="Pets" sheetId="4" r:id="R8cb1761739794768"/>
    <x:sheet xmlns:r="http://schemas.openxmlformats.org/officeDocument/2006/relationships" name="Seeds" sheetId="5" r:id="R8c7fb4205f8643e6"/>
    <x:sheet xmlns:r="http://schemas.openxmlformats.org/officeDocument/2006/relationships" name="LuckUpgrades" sheetId="6" r:id="Rbadc5c3b44634eeb"/>
    <x:sheet xmlns:r="http://schemas.openxmlformats.org/officeDocument/2006/relationships" name="RollPads" sheetId="7" r:id="Rad8177e77a48474a"/>
    <x:sheet xmlns:r="http://schemas.openxmlformats.org/officeDocument/2006/relationships" name="Rebirths" sheetId="8" r:id="R77e39bf44f7c47c9"/>
  </x:sheets>
</x:workbook>
</file>

<file path=xl/comments1.xml><?xml version="1.0" encoding="utf-8"?>
<x:comments xmlns:x="http://schemas.openxmlformats.org/spreadsheetml/2006/main">
  <x:authors>
    <x:author>tc={B51F48B3-10C7-BDDA-B7EB-1EBCC28DE689}</x:author>
    <x:author>tc={148BF512-1456-84F7-3148-9238E087988F}</x:author>
  </x:authors>
  <x:commentList>
    <x:comment ref="E5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Golden pet income continues from Unicorn at 5% compound growth per evolution.</x:t>
        </x:r>
      </x:text>
    </x:comment>
    <x:comment ref="F6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Golden evolution time follows a geometric curve from 250 minutes at Golden Pigeon to 2,000 minutes at Golden Unicorn.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<x:sst xmlns:x="http://schemas.openxmlformats.org/spreadsheetml/2006/main">
  <x:si>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Game Balance Workbook</x:t>
  </x:si>
  <x:si>
    <x:t xml:space="preserve">Edit yellow/current-value columns to rebalance. Formula columns recalculate in Excel.</x:t>
  </x:si>
  <x:si>
    <x:t xml:space="preserve">Sheets</x:t>
  </x:si>
  <x:si>
    <x:t xml:space="preserve">Assumptions: global knobs used by formulas.</x:t>
  </x:si>
  <x:si>
    <x:t xml:space="preserve">Feeds: feed XP, grow rates, and effective XP/min.</x:t>
  </x:si>
  <x:si>
    <x:t xml:space="preserve">Pets: pet earnings, MaxXP, feed mapping, and calculated evolution minutes.</x:t>
  </x:si>
  <x:si>
    <x:t xml:space="preserve">Seeds: roll rarity/chance/price plus formula price helpers.</x:t>
  </x:si>
  <x:si>
    <x:t xml:space="preserve">LuckUpgrades: 100-level luck curve, raw formula, current prices, cumulative cost.</x:t>
  </x:si>
  <x:si>
    <x:t xml:space="preserve">RollPads: roll-pad upgrade costs.</x:t>
  </x:si>
  <x:si>
    <x:t xml:space="preserve">Rebirths: rebirth costs and anchor formula checks.</x:t>
  </x:si>
  <x:si>
    <x:t xml:space="preserve">Note: RollChanceN is displayed raw in roll UI as "1 in N".</x:t>
  </x:si>
  <x:si>
    <x:t xml:space="preserve">Key</x:t>
  </x:si>
  <x:si>
    <x:t xml:space="preserve">Value</x:t>
  </x:si>
  <x:si>
    <x:t xml:space="preserve">Description</x:t>
  </x:si>
  <x:si>
    <x:t xml:space="preserve">SeedMinutesRequired</x:t>
  </x:si>
  <x:si>
    <x:t xml:space="preserve">Default minutes used by seed formula price helper.</x:t>
  </x:si>
  <x:si>
    <x:t xml:space="preserve">TreeHarvestsPerSecond</x:t>
  </x:si>
  <x:si>
    <x:t xml:space="preserve">Tree effective XP/min assumes this many harvested fruits per second.</x:t>
  </x:si>
  <x:si>
    <x:t xml:space="preserve">PatchDefaultGrowRate</x:t>
  </x:si>
  <x:si>
    <x:t xml:space="preserve">Patches currently tick every second.</x:t>
  </x:si>
  <x:si>
    <x:t xml:space="preserve">EndgameIncomePerSecond</x:t>
  </x:si>
  <x:si>
    <x:t xml:space="preserve">Used for upgrade hour estimates.</x:t>
  </x:si>
  <x:si>
    <x:t xml:space="preserve">LuckRawA</x:t>
  </x:si>
  <x:si>
    <x:t xml:space="preserve">Raw luck formula coefficient.</x:t>
  </x:si>
  <x:si>
    <x:t xml:space="preserve">LuckRawB</x:t>
  </x:si>
  <x:si>
    <x:t xml:space="preserve">Raw luck formula cubic multiplier.</x:t>
  </x:si>
  <x:si>
    <x:t xml:space="preserve">LuckRawExponent</x:t>
  </x:si>
  <x:si>
    <x:t xml:space="preserve">Raw luck formula exponent.</x:t>
  </x:si>
  <x:si>
    <x:t xml:space="preserve">FeedType</x:t>
  </x:si>
  <x:si>
    <x:t xml:space="preserve">FeedClass</x:t>
  </x:si>
  <x:si>
    <x:t xml:space="preserve">XP</x:t>
  </x:si>
  <x:si>
    <x:t xml:space="preserve">GrowRateSeconds</x:t>
  </x:si>
  <x:si>
    <x:t xml:space="preserve">EffectiveXPPerMinute</x:t>
  </x:si>
  <x:si>
    <x:t xml:space="preserve">Notes</x:t>
  </x:si>
  <x:si>
    <x:t xml:space="preserve">AppleTree</x:t>
  </x:si>
  <x:si>
    <x:t xml:space="preserve">Tree</x:t>
  </x:si>
  <x:si>
    <x:t xml:space="preserve">36</x:t>
  </x:si>
  <x:si>
    <x:t xml:space="preserve">starter tree</x:t>
  </x:si>
  <x:si>
    <x:t xml:space="preserve">PumpkinPatch</x:t>
  </x:si>
  <x:si>
    <x:t xml:space="preserve">Patch</x:t>
  </x:si>
  <x:si>
    <x:t xml:space="preserve">second progression patch</x:t>
  </x:si>
  <x:si>
    <x:t xml:space="preserve">CabbagePatch</x:t>
  </x:si>
  <x:si>
    <x:t xml:space="preserve">third progression patch</x:t>
  </x:si>
  <x:si>
    <x:t xml:space="preserve">PotatoPatch</x:t>
  </x:si>
  <x:si>
    <x:t xml:space="preserve">OrangeTree</x:t>
  </x:si>
  <x:si>
    <x:t xml:space="preserve">WatermelonPatch</x:t>
  </x:si>
  <x:si>
    <x:t xml:space="preserve">PlumTree</x:t>
  </x:si>
  <x:si>
    <x:t xml:space="preserve">CornPatch</x:t>
  </x:si>
  <x:si>
    <x:t xml:space="preserve">CherryTree</x:t>
  </x:si>
  <x:si>
    <x:t xml:space="preserve">MushroomPatch</x:t>
  </x:si>
  <x:si>
    <x:t xml:space="preserve">BananaTree</x:t>
  </x:si>
  <x:si>
    <x:t xml:space="preserve">Cactus</x:t>
  </x:si>
  <x:si>
    <x:t xml:space="preserve">PineapplePatch</x:t>
  </x:si>
  <x:si>
    <x:t xml:space="preserve">FigTree</x:t>
  </x:si>
  <x:si>
    <x:t xml:space="preserve">PurpleShroomPatch</x:t>
  </x:si>
  <x:si>
    <x:t xml:space="preserve">BloodOrangeTree</x:t>
  </x:si>
  <x:si>
    <x:t xml:space="preserve">GlowshroomPatch</x:t>
  </x:si>
  <x:si>
    <x:t xml:space="preserve">DragonfruitTree</x:t>
  </x:si>
  <x:si>
    <x:t xml:space="preserve">GoldenAppleTree</x:t>
  </x:si>
  <x:si>
    <x:t xml:space="preserve">DurianTree</x:t>
  </x:si>
  <x:si>
    <x:t xml:space="preserve">Order</x:t>
  </x:si>
  <x:si>
    <x:t xml:space="preserve">PetID</x:t>
  </x:si>
  <x:si>
    <x:t xml:space="preserve">DisplayName</x:t>
  </x:si>
  <x:si>
    <x:t xml:space="preserve">Rarity</x:t>
  </x:si>
  <x:si>
    <x:t xml:space="preserve">MoneyRatePerSecond</x:t>
  </x:si>
  <x:si>
    <x:t xml:space="preserve">MaxXP</x:t>
  </x:si>
  <x:si>
    <x:t xml:space="preserve">EvolutionFeedType</x:t>
  </x:si>
  <x:si>
    <x:t xml:space="preserve">FeedXPPerMinute</x:t>
  </x:si>
  <x:si>
    <x:t xml:space="preserve">ApproxMinutesToNext</x:t>
  </x:si>
  <x:si>
    <x:t xml:space="preserve">NextPetID</x:t>
  </x:si>
  <x:si>
    <x:t xml:space="preserve">SeedID</x:t>
  </x:si>
  <x:si>
    <x:t xml:space="preserve">RollChanceN</x:t>
  </x:si>
  <x:si>
    <x:t xml:space="preserve">RawChanceLabel</x:t>
  </x:si>
  <x:si>
    <x:t xml:space="preserve">MatchedPetID</x:t>
  </x:si>
  <x:si>
    <x:t xml:space="preserve">MatchedPetName</x:t>
  </x:si>
  <x:si>
    <x:t xml:space="preserve">MatchedMoneyRate</x:t>
  </x:si>
  <x:si>
    <x:t xml:space="preserve">MinutesRequired</x:t>
  </x:si>
  <x:si>
    <x:t xml:space="preserve">FormulaPrice</x:t>
  </x:si>
  <x:si>
    <x:t xml:space="preserve">CurrentPrice</x:t>
  </x:si>
  <x:si>
    <x:t xml:space="preserve">PriceDelta</x:t>
  </x:si>
  <x:si>
    <x:t xml:space="preserve">AppleTreeSeed</x:t>
  </x:si>
  <x:si>
    <x:t xml:space="preserve">Apple Tree Seed</x:t>
  </x:si>
  <x:si>
    <x:t xml:space="preserve">Common</x:t>
  </x:si>
  <x:si>
    <x:t xml:space="preserve">Pet1</x:t>
  </x:si>
  <x:si>
    <x:t xml:space="preserve">PumpkinSeed</x:t>
  </x:si>
  <x:si>
    <x:t xml:space="preserve">Pumpkin Seed</x:t>
  </x:si>
  <x:si>
    <x:t xml:space="preserve">Pet4</x:t>
  </x:si>
  <x:si>
    <x:t xml:space="preserve">CabbageSeed</x:t>
  </x:si>
  <x:si>
    <x:t xml:space="preserve">Cabbage Seed</x:t>
  </x:si>
  <x:si>
    <x:t xml:space="preserve">Pet6</x:t>
  </x:si>
  <x:si>
    <x:t xml:space="preserve">PotatoSeed</x:t>
  </x:si>
  <x:si>
    <x:t xml:space="preserve">Potato Seed</x:t>
  </x:si>
  <x:si>
    <x:t xml:space="preserve">Rare</x:t>
  </x:si>
  <x:si>
    <x:t xml:space="preserve">Pet9</x:t>
  </x:si>
  <x:si>
    <x:t xml:space="preserve">OrangeTreeSeed</x:t>
  </x:si>
  <x:si>
    <x:t xml:space="preserve">Orange Tree Seed</x:t>
  </x:si>
  <x:si>
    <x:t xml:space="preserve">Pet12</x:t>
  </x:si>
  <x:si>
    <x:t xml:space="preserve">WatermelonSeed</x:t>
  </x:si>
  <x:si>
    <x:t xml:space="preserve">Watermelon Seed</x:t>
  </x:si>
  <x:si>
    <x:t xml:space="preserve">Pet15</x:t>
  </x:si>
  <x:si>
    <x:t xml:space="preserve">PlumTreeSeed</x:t>
  </x:si>
  <x:si>
    <x:t xml:space="preserve">Plum Tree Seed</x:t>
  </x:si>
  <x:si>
    <x:t xml:space="preserve">Pet17</x:t>
  </x:si>
  <x:si>
    <x:t xml:space="preserve">CornSeed</x:t>
  </x:si>
  <x:si>
    <x:t xml:space="preserve">Corn Seed</x:t>
  </x:si>
  <x:si>
    <x:t xml:space="preserve">Epic</x:t>
  </x:si>
  <x:si>
    <x:t xml:space="preserve">Pet20</x:t>
  </x:si>
  <x:si>
    <x:t xml:space="preserve">CherryTreeSeed</x:t>
  </x:si>
  <x:si>
    <x:t xml:space="preserve">Cherry Tree Seed</x:t>
  </x:si>
  <x:si>
    <x:t xml:space="preserve">Pet23</x:t>
  </x:si>
  <x:si>
    <x:t xml:space="preserve">MushroomSeed</x:t>
  </x:si>
  <x:si>
    <x:t xml:space="preserve">Mushroom Seed</x:t>
  </x:si>
  <x:si>
    <x:t xml:space="preserve">Pet26</x:t>
  </x:si>
  <x:si>
    <x:t xml:space="preserve">BananaTreeSeed</x:t>
  </x:si>
  <x:si>
    <x:t xml:space="preserve">Banana Tree Seed</x:t>
  </x:si>
  <x:si>
    <x:t xml:space="preserve">Pet28</x:t>
  </x:si>
  <x:si>
    <x:t xml:space="preserve">CactusSeed</x:t>
  </x:si>
  <x:si>
    <x:t xml:space="preserve">Cactus Seed</x:t>
  </x:si>
  <x:si>
    <x:t xml:space="preserve">Pet31</x:t>
  </x:si>
  <x:si>
    <x:t xml:space="preserve">PineappleSeed</x:t>
  </x:si>
  <x:si>
    <x:t xml:space="preserve">Pineapple Seed</x:t>
  </x:si>
  <x:si>
    <x:t xml:space="preserve">Legendary</x:t>
  </x:si>
  <x:si>
    <x:t xml:space="preserve">Pet34</x:t>
  </x:si>
  <x:si>
    <x:t xml:space="preserve">FigTreeSeed</x:t>
  </x:si>
  <x:si>
    <x:t xml:space="preserve">Fig Tree Seed</x:t>
  </x:si>
  <x:si>
    <x:t xml:space="preserve">Pet37</x:t>
  </x:si>
  <x:si>
    <x:t xml:space="preserve">PurpleShroomSeed</x:t>
  </x:si>
  <x:si>
    <x:t xml:space="preserve">Purple Shroom Seed</x:t>
  </x:si>
  <x:si>
    <x:t xml:space="preserve">Pet39</x:t>
  </x:si>
  <x:si>
    <x:t xml:space="preserve">BloodOrangeTreeSeed</x:t>
  </x:si>
  <x:si>
    <x:t xml:space="preserve">Blood Orange Tree Seed</x:t>
  </x:si>
  <x:si>
    <x:t xml:space="preserve">Pet42</x:t>
  </x:si>
  <x:si>
    <x:t xml:space="preserve">GlowshroomSeed</x:t>
  </x:si>
  <x:si>
    <x:t xml:space="preserve">Glowshroom Seed</x:t>
  </x:si>
  <x:si>
    <x:t xml:space="preserve">Mythical</x:t>
  </x:si>
  <x:si>
    <x:t xml:space="preserve">Pet45</x:t>
  </x:si>
  <x:si>
    <x:t xml:space="preserve">DragonfruitTreeSeed</x:t>
  </x:si>
  <x:si>
    <x:t xml:space="preserve">Dragonfruit Tree Seed</x:t>
  </x:si>
  <x:si>
    <x:t xml:space="preserve">Pet48</x:t>
  </x:si>
  <x:si>
    <x:t xml:space="preserve">GoldenAppleTreeSeed</x:t>
  </x:si>
  <x:si>
    <x:t xml:space="preserve">Golden Apple Tree Seed</x:t>
  </x:si>
  <x:si>
    <x:t xml:space="preserve">Secret</x:t>
  </x:si>
  <x:si>
    <x:t xml:space="preserve">Pet50</x:t>
  </x:si>
  <x:si>
    <x:t xml:space="preserve">DurianTreeSeed</x:t>
  </x:si>
  <x:si>
    <x:t xml:space="preserve">Durian Tree Seed</x:t>
  </x:si>
  <x:si>
    <x:t xml:space="preserve">Pet53</x:t>
  </x:si>
  <x:si>
    <x:t xml:space="preserve">Level</x:t>
  </x:si>
  <x:si>
    <x:t xml:space="preserve">LuckPercent</x:t>
  </x:si>
  <x:si>
    <x:t xml:space="preserve">RawFormulaPrice</x:t>
  </x:si>
  <x:si>
    <x:t xml:space="preserve">CumulativePrice</x:t>
  </x:si>
  <x:si>
    <x:t xml:space="preserve">CumulativeHoursAtEndgame</x:t>
  </x:si>
  <x:si>
    <x:t xml:space="preserve">UpgradeLevel</x:t>
  </x:si>
  <x:si>
    <x:t xml:space="preserve">UnlockedPads</x:t>
  </x:si>
  <x:si>
    <x:t xml:space="preserve">Price</x:t>
  </x:si>
  <x:si>
    <x:t xml:space="preserve">2/5</x:t>
  </x:si>
  <x:si>
    <x:t xml:space="preserve">3/5</x:t>
  </x:si>
  <x:si>
    <x:t xml:space="preserve">4/5</x:t>
  </x:si>
  <x:si>
    <x:t xml:space="preserve">5/5</x:t>
  </x:si>
  <x:si>
    <x:t xml:space="preserve">RebirthTier</x:t>
  </x:si>
  <x:si>
    <x:t xml:space="preserve">CurrentCost</x:t>
  </x:si>
  <x:si>
    <x:t xml:space="preserve">AnchorPetCount</x:t>
  </x:si>
  <x:si>
    <x:t xml:space="preserve">AnchorPetName</x:t>
  </x:si>
  <x:si>
    <x:t xml:space="preserve">AnchorPetEarnRate</x:t>
  </x:si>
  <x:si>
    <x:t xml:space="preserve">HoursRequired</x:t>
  </x:si>
  <x:si>
    <x:t xml:space="preserve">FormulaCost</x:t>
  </x:si>
  <x:si>
    <x:t xml:space="preserve">CostDelta</x:t>
  </x:si>
  <x:si>
    <x:t xml:space="preserve">Lizard</x:t>
  </x:si>
  <x:si>
    <x:t xml:space="preserve">Ostrich</x:t>
  </x:si>
  <x:si>
    <x:t xml:space="preserve">Gorilla</x:t>
  </x:si>
  <x:si>
    <x:t xml:space="preserve">Snake</x:t>
  </x:si>
  <x:si>
    <x:t xml:space="preserve">T-Rex</x:t>
  </x:si>
</x:sst>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4">
    <x:font>
      <x:sz val="11"/>
      <x:color rgb="FF000000"/>
      <x:name val="Calibri"/>
    </x:font>
    <x:font>
      <x:b/>
      <x:sz val="11"/>
      <x:color theme="1"/>
      <x:name val="Calibri"/>
    </x:font>
    <x:font>
      <x:color theme="1"/>
      <x:name val="Calibri"/>
    </x:font>
    <x:font>
      <x:color rgb="FF000000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2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3" fillId="0" borderId="0" xfId="0" applyFont="1" applyAlignment="1"/>
    <x:xf numFmtId="0" fontId="2" fillId="0" borderId="0" xfId="0" applyFont="1" applyAlignment="1"/>
    <x:xf numFmtId="200" fontId="2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bottom" wrapText="0"/>
    </x:xf>
    <x:xf numFmtId="201" fontId="2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bottom" wrapText="0"/>
    </x:xf>
    <x:xf numFmtId="20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be64822524492" /><Relationship Type="http://schemas.openxmlformats.org/officeDocument/2006/relationships/theme" Target="/xl/theme/theme1.xml" Id="R65daabae5aa0415c" /><Relationship Type="http://schemas.openxmlformats.org/officeDocument/2006/relationships/sharedStrings" Target="/xl/sharedStrings.xml" Id="R3f482b0c7acb43f5" /><Relationship Type="http://schemas.openxmlformats.org/officeDocument/2006/relationships/worksheet" Target="/xl/worksheets/sheet1.xml" Id="R8fd7889ba1a5493d" /><Relationship Type="http://schemas.openxmlformats.org/officeDocument/2006/relationships/worksheet" Target="/xl/worksheets/sheet2.xml" Id="Rb2ada92f6ec94813" /><Relationship Type="http://schemas.openxmlformats.org/officeDocument/2006/relationships/worksheet" Target="/xl/worksheets/sheet3.xml" Id="R88fab165b70b4bac" /><Relationship Type="http://schemas.openxmlformats.org/officeDocument/2006/relationships/worksheet" Target="/xl/worksheets/sheet4.xml" Id="R8cb1761739794768" /><Relationship Type="http://schemas.openxmlformats.org/officeDocument/2006/relationships/worksheet" Target="/xl/worksheets/sheet5.xml" Id="R8c7fb4205f8643e6" /><Relationship Type="http://schemas.openxmlformats.org/officeDocument/2006/relationships/worksheet" Target="/xl/worksheets/sheet6.xml" Id="Rbadc5c3b44634eeb" /><Relationship Type="http://schemas.openxmlformats.org/officeDocument/2006/relationships/worksheet" Target="/xl/worksheets/sheet7.xml" Id="Rad8177e77a48474a" /><Relationship Type="http://schemas.openxmlformats.org/officeDocument/2006/relationships/worksheet" Target="/xl/worksheets/sheet8.xml" Id="R77e39bf44f7c47c9" /><Relationship Type="http://schemas.microsoft.com/office/2017/10/relationships/person" Target="/xl/persons/person.xml" Id="R11fe3c94555f4ab3" /></Relationships>
</file>

<file path=xl/persons/person.xml><?xml version="1.0" encoding="utf-8"?>
<xltc:personList xmlns:xltc="http://schemas.microsoft.com/office/spreadsheetml/2018/threadedcomments">
  <xltc:person displayName="User" id="{1D8EA95D-113D-4A4F-A6EB-874EDCBC382D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55" dT="2026-07-20T12:15:03.972" personId="{1D8EA95D-113D-4A4F-A6EB-874EDCBC382D}" id="{B51F48B3-10C7-BDDA-B7EB-1EBCC28DE689}">
    <xltc:text>Golden pet income continues from Unicorn at 5% compound growth per evolution.</xltc:text>
  </xltc:threadedComment>
  <xltc:threadedComment ref="F60" dT="2026-07-20T12:15:03.973" personId="{1D8EA95D-113D-4A4F-A6EB-874EDCBC382D}" id="{148BF512-1456-84F7-3148-9238E087988F}">
    <xltc:text>Golden evolution time follows a geometric curve from 250 minutes at Golden Pigeon to 2,000 minutes at Golden Unicorn.</xltc:text>
  </xltc:threadedComment>
</xltc:ThreadedComment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0fc934f1f8d34674" /><Relationship Type="http://schemas.openxmlformats.org/officeDocument/2006/relationships/vmlDrawing" Target="/xl/drawings/vmldrawing.vml" Id="R6203a6700f5a424f" /><Relationship Type="http://schemas.microsoft.com/office/2017/10/relationships/threadedComment" Target="/xl/threadedcomments/threadedcomment.xml" Id="R77c42f9e395f4dde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00" hidden="0" customWidth="1"/>
  </x:cols>
  <x:sheetData>
    <x:row r="1">
      <x:c r="A1" s="1" t="s">
        <x:v>0</x:v>
      </x:c>
    </x:row>
    <x:row r="2">
      <x:c r="A2" s="2" t="s">
        <x:v>1</x:v>
      </x:c>
    </x:row>
    <x:row r="3">
      <x:c r="A3" s="2" t="s">
        <x:v>2</x:v>
      </x:c>
    </x:row>
    <x:row r="4">
      <x:c r="A4" s="2" t="s">
        <x:v>3</x:v>
      </x:c>
    </x:row>
    <x:row r="5">
      <x:c r="A5" s="2" t="s">
        <x:v>4</x:v>
      </x:c>
    </x:row>
    <x:row r="6">
      <x:c r="A6" s="2" t="s">
        <x:v>5</x:v>
      </x:c>
    </x:row>
    <x:row r="7">
      <x:c r="A7" s="2" t="s">
        <x:v>6</x:v>
      </x:c>
    </x:row>
    <x:row r="8">
      <x:c r="A8" s="2" t="s">
        <x:v>7</x:v>
      </x:c>
    </x:row>
    <x:row r="9">
      <x:c r="A9" s="2" t="s">
        <x:v>8</x:v>
      </x:c>
    </x:row>
    <x:row r="10">
      <x:c r="A10" s="2" t="s">
        <x:v>9</x:v>
      </x:c>
    </x:row>
    <x:row r="11">
      <x:c r="A11" s="2" t="s">
        <x:v>10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14" customWidth="1"/>
    <x:col min="3" max="3" width="72" customWidth="1"/>
  </x:cols>
  <x:sheetData>
    <x:row r="1">
      <x:c r="A1" s="1" t="s">
        <x:v>11</x:v>
      </x:c>
      <x:c r="B1" s="1" t="s">
        <x:v>12</x:v>
      </x:c>
      <x:c r="C1" s="1" t="s">
        <x:v>13</x:v>
      </x:c>
    </x:row>
    <x:row r="2">
      <x:c r="A2" s="2" t="s">
        <x:v>14</x:v>
      </x:c>
      <x:c r="B2" s="2">
        <x:v>3.0</x:v>
      </x:c>
      <x:c r="C2" s="2" t="s">
        <x:v>15</x:v>
      </x:c>
    </x:row>
    <x:row r="3">
      <x:c r="A3" s="2" t="s">
        <x:v>16</x:v>
      </x:c>
      <x:c r="B3" s="2">
        <x:v>1.0</x:v>
      </x:c>
      <x:c r="C3" s="2" t="s">
        <x:v>17</x:v>
      </x:c>
    </x:row>
    <x:row r="4">
      <x:c r="A4" s="2" t="s">
        <x:v>18</x:v>
      </x:c>
      <x:c r="B4" s="2">
        <x:v>1.0</x:v>
      </x:c>
      <x:c r="C4" s="2" t="s">
        <x:v>19</x:v>
      </x:c>
    </x:row>
    <x:row r="5">
      <x:c r="A5" s="2" t="s">
        <x:v>20</x:v>
      </x:c>
      <x:c r="B5" s="2">
        <x:v>1000.0</x:v>
      </x:c>
      <x:c r="C5" s="2" t="s">
        <x:v>21</x:v>
      </x:c>
    </x:row>
    <x:row r="6">
      <x:c r="A6" s="2" t="s">
        <x:v>22</x:v>
      </x:c>
      <x:c r="B6" s="2">
        <x:v>35.0</x:v>
      </x:c>
      <x:c r="C6" s="2" t="s">
        <x:v>23</x:v>
      </x:c>
    </x:row>
    <x:row r="7">
      <x:c r="A7" s="2" t="s">
        <x:v>24</x:v>
      </x:c>
      <x:c r="B7" s="2">
        <x:v>16.0</x:v>
      </x:c>
      <x:c r="C7" s="2" t="s">
        <x:v>25</x:v>
      </x:c>
    </x:row>
    <x:row r="8">
      <x:c r="A8" s="2" t="s">
        <x:v>26</x:v>
      </x:c>
      <x:c r="B8" s="2">
        <x:v>3.25</x:v>
      </x:c>
      <x:c r="C8" s="2" t="s">
        <x:v>27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29" hidden="0" customWidth="1"/>
    <x:col min="2" max="2" width="14" customWidth="1"/>
    <x:col min="3" max="3" width="12" customWidth="1"/>
    <x:col min="4" max="4" width="18" customWidth="1"/>
    <x:col min="5" max="5" width="22" customWidth="1"/>
    <x:col min="6" max="6" width="52" hidden="0" customWidth="1"/>
  </x:cols>
  <x:sheetData>
    <x:row r="1">
      <x:c r="A1" s="1" t="s">
        <x:v>28</x:v>
      </x:c>
      <x:c r="B1" s="1" t="s">
        <x:v>29</x:v>
      </x:c>
      <x:c r="C1" s="1" t="s">
        <x:v>30</x:v>
      </x:c>
      <x:c r="D1" s="1" t="s">
        <x:v>31</x:v>
      </x:c>
      <x:c r="E1" s="1" t="s">
        <x:v>32</x:v>
      </x:c>
      <x:c r="F1" s="1" t="s">
        <x:v>33</x:v>
      </x:c>
    </x:row>
    <x:row r="2">
      <x:c r="A2" s="2" t="s">
        <x:v>34</x:v>
      </x:c>
      <x:c r="B2" s="2" t="s">
        <x:v>35</x:v>
      </x:c>
      <x:c r="C2" s="9">
        <x:v>1.0</x:v>
      </x:c>
      <x:c r="D2" s="5" t="s">
        <x:v>36</x:v>
      </x:c>
      <x:c r="E2" s="5" t="n">
        <x:f>IF(B2="Patch",C2*60/D2,C2*'Assumptions'!$B$3*60)</x:f>
        <x:v>60</x:v>
      </x:c>
      <x:c r="F2" s="10" t="s">
        <x:v>37</x:v>
      </x:c>
    </x:row>
    <x:row r="3">
      <x:c r="A3" s="2" t="s">
        <x:v>38</x:v>
      </x:c>
      <x:c r="B3" s="2" t="s">
        <x:v>39</x:v>
      </x:c>
      <x:c r="C3" s="9">
        <x:v>2.0</x:v>
      </x:c>
      <x:c r="D3" s="5">
        <x:v>1.0</x:v>
      </x:c>
      <x:c r="E3" s="5" t="n">
        <x:f>IF(B3="Patch",C3*60/D3,C3*'Assumptions'!$B$3*60)</x:f>
        <x:v>120</x:v>
      </x:c>
      <x:c r="F3" s="10" t="s">
        <x:v>40</x:v>
      </x:c>
    </x:row>
    <x:row r="4">
      <x:c r="A4" s="2" t="s">
        <x:v>41</x:v>
      </x:c>
      <x:c r="B4" s="2" t="s">
        <x:v>39</x:v>
      </x:c>
      <x:c r="C4" s="9">
        <x:v>3.0</x:v>
      </x:c>
      <x:c r="D4" s="5">
        <x:v>1.0</x:v>
      </x:c>
      <x:c r="E4" s="5" t="n">
        <x:f>IF(B4="Patch",C4*60/D4,C4*'Assumptions'!$B$3*60)</x:f>
        <x:v>180</x:v>
      </x:c>
      <x:c r="F4" s="10" t="s">
        <x:v>42</x:v>
      </x:c>
    </x:row>
    <x:row r="5">
      <x:c r="A5" s="2" t="s">
        <x:v>43</x:v>
      </x:c>
      <x:c r="B5" s="2" t="s">
        <x:v>39</x:v>
      </x:c>
      <x:c r="C5" s="9">
        <x:v>4.0</x:v>
      </x:c>
      <x:c r="D5" s="5">
        <x:v>1.0</x:v>
      </x:c>
      <x:c r="E5" s="5" t="n">
        <x:f>IF(B5="Patch",C5*60/D5,C5*'Assumptions'!$B$3*60)</x:f>
        <x:v>240</x:v>
      </x:c>
      <x:c r="F5" s="11"/>
    </x:row>
    <x:row r="6">
      <x:c r="A6" s="2" t="s">
        <x:v>44</x:v>
      </x:c>
      <x:c r="B6" s="2" t="s">
        <x:v>35</x:v>
      </x:c>
      <x:c r="C6" s="9">
        <x:v>15.0</x:v>
      </x:c>
      <x:c r="D6" s="6"/>
      <x:c r="E6" s="5" t="n">
        <x:f>IF(B6="Patch",C6*60/D6,C6*'Assumptions'!$B$3*60)</x:f>
        <x:v>900</x:v>
      </x:c>
      <x:c r="F6" s="11"/>
    </x:row>
    <x:row r="7">
      <x:c r="A7" s="2" t="s">
        <x:v>45</x:v>
      </x:c>
      <x:c r="B7" s="2" t="s">
        <x:v>39</x:v>
      </x:c>
      <x:c r="C7" s="9">
        <x:v>7.0</x:v>
      </x:c>
      <x:c r="D7" s="5">
        <x:v>1.0</x:v>
      </x:c>
      <x:c r="E7" s="5" t="n">
        <x:f>IF(B7="Patch",C7*60/D7,C7*'Assumptions'!$B$3*60)</x:f>
        <x:v>420</x:v>
      </x:c>
      <x:c r="F7" s="11"/>
    </x:row>
    <x:row r="8">
      <x:c r="A8" s="2" t="s">
        <x:v>46</x:v>
      </x:c>
      <x:c r="B8" s="2" t="s">
        <x:v>35</x:v>
      </x:c>
      <x:c r="C8" s="9">
        <x:v>30.0</x:v>
      </x:c>
      <x:c r="D8" s="6"/>
      <x:c r="E8" s="5" t="n">
        <x:f>IF(B8="Patch",C8*60/D8,C8*'Assumptions'!$B$3*60)</x:f>
        <x:v>1800</x:v>
      </x:c>
      <x:c r="F8" s="11"/>
    </x:row>
    <x:row r="9">
      <x:c r="A9" s="2" t="s">
        <x:v>47</x:v>
      </x:c>
      <x:c r="B9" s="2" t="s">
        <x:v>39</x:v>
      </x:c>
      <x:c r="C9" s="9">
        <x:v>20.0</x:v>
      </x:c>
      <x:c r="D9" s="5">
        <x:v>1.0</x:v>
      </x:c>
      <x:c r="E9" s="5" t="n">
        <x:f>IF(B9="Patch",C9*60/D9,C9*'Assumptions'!$B$3*60)</x:f>
        <x:v>1200</x:v>
      </x:c>
      <x:c r="F9" s="11"/>
    </x:row>
    <x:row r="10">
      <x:c r="A10" s="2" t="s">
        <x:v>48</x:v>
      </x:c>
      <x:c r="B10" s="2" t="s">
        <x:v>35</x:v>
      </x:c>
      <x:c r="C10" s="9">
        <x:v>75.0</x:v>
      </x:c>
      <x:c r="D10" s="6"/>
      <x:c r="E10" s="5" t="n">
        <x:f>IF(B10="Patch",C10*60/D10,C10*'Assumptions'!$B$3*60)</x:f>
        <x:v>4500</x:v>
      </x:c>
      <x:c r="F10" s="11"/>
    </x:row>
    <x:row r="11">
      <x:c r="A11" s="2" t="s">
        <x:v>49</x:v>
      </x:c>
      <x:c r="B11" s="2" t="s">
        <x:v>39</x:v>
      </x:c>
      <x:c r="C11" s="9">
        <x:v>50.0</x:v>
      </x:c>
      <x:c r="D11" s="5">
        <x:v>1.0</x:v>
      </x:c>
      <x:c r="E11" s="5" t="n">
        <x:f>IF(B11="Patch",C11*60/D11,C11*'Assumptions'!$B$3*60)</x:f>
        <x:v>3000</x:v>
      </x:c>
      <x:c r="F11" s="11"/>
    </x:row>
    <x:row r="12">
      <x:c r="A12" s="2" t="s">
        <x:v>50</x:v>
      </x:c>
      <x:c r="B12" s="2" t="s">
        <x:v>35</x:v>
      </x:c>
      <x:c r="C12" s="9">
        <x:v>200.0</x:v>
      </x:c>
      <x:c r="D12" s="6"/>
      <x:c r="E12" s="5" t="n">
        <x:f>IF(B12="Patch",C12*60/D12,C12*'Assumptions'!$B$3*60)</x:f>
        <x:v>12000</x:v>
      </x:c>
      <x:c r="F12" s="11"/>
    </x:row>
    <x:row r="13">
      <x:c r="A13" s="2" t="s">
        <x:v>51</x:v>
      </x:c>
      <x:c r="B13" s="2" t="s">
        <x:v>35</x:v>
      </x:c>
      <x:c r="C13" s="9">
        <x:v>175.0</x:v>
      </x:c>
      <x:c r="D13" s="6"/>
      <x:c r="E13" s="5" t="n">
        <x:f>IF(B13="Patch",C13*60/D13,C13*'Assumptions'!$B$3*60)</x:f>
        <x:v>10500</x:v>
      </x:c>
      <x:c r="F13" s="11"/>
    </x:row>
    <x:row r="14">
      <x:c r="A14" s="2" t="s">
        <x:v>52</x:v>
      </x:c>
      <x:c r="B14" s="2" t="s">
        <x:v>39</x:v>
      </x:c>
      <x:c r="C14" s="9">
        <x:v>225.0</x:v>
      </x:c>
      <x:c r="D14" s="5">
        <x:v>1.0</x:v>
      </x:c>
      <x:c r="E14" s="5" t="n">
        <x:f>IF(B14="Patch",C14*60/D14,C14*'Assumptions'!$B$3*60)</x:f>
        <x:v>13500</x:v>
      </x:c>
      <x:c r="F14" s="11"/>
    </x:row>
    <x:row r="15">
      <x:c r="A15" s="2" t="s">
        <x:v>53</x:v>
      </x:c>
      <x:c r="B15" s="2" t="s">
        <x:v>35</x:v>
      </x:c>
      <x:c r="C15" s="9">
        <x:v>900.0</x:v>
      </x:c>
      <x:c r="D15" s="6"/>
      <x:c r="E15" s="5" t="n">
        <x:f>IF(B15="Patch",C15*60/D15,C15*'Assumptions'!$B$3*60)</x:f>
        <x:v>54000</x:v>
      </x:c>
      <x:c r="F15" s="11"/>
    </x:row>
    <x:row r="16">
      <x:c r="A16" s="2" t="s">
        <x:v>54</x:v>
      </x:c>
      <x:c r="B16" s="2" t="s">
        <x:v>39</x:v>
      </x:c>
      <x:c r="C16" s="9">
        <x:v>650.0</x:v>
      </x:c>
      <x:c r="D16" s="5">
        <x:v>1.0</x:v>
      </x:c>
      <x:c r="E16" s="5" t="n">
        <x:f>IF(B16="Patch",C16*60/D16,C16*'Assumptions'!$B$3*60)</x:f>
        <x:v>39000</x:v>
      </x:c>
      <x:c r="F16" s="11"/>
    </x:row>
    <x:row r="17">
      <x:c r="A17" s="2" t="s">
        <x:v>55</x:v>
      </x:c>
      <x:c r="B17" s="2" t="s">
        <x:v>35</x:v>
      </x:c>
      <x:c r="C17" s="9">
        <x:v>2750.0</x:v>
      </x:c>
      <x:c r="D17" s="6"/>
      <x:c r="E17" s="5" t="n">
        <x:f>IF(B17="Patch",C17*60/D17,C17*'Assumptions'!$B$3*60)</x:f>
        <x:v>165000</x:v>
      </x:c>
      <x:c r="F17" s="11"/>
    </x:row>
    <x:row r="18">
      <x:c r="A18" s="2" t="s">
        <x:v>56</x:v>
      </x:c>
      <x:c r="B18" s="2" t="s">
        <x:v>39</x:v>
      </x:c>
      <x:c r="C18" s="9">
        <x:v>2000.0</x:v>
      </x:c>
      <x:c r="D18" s="5">
        <x:v>1.0</x:v>
      </x:c>
      <x:c r="E18" s="5" t="n">
        <x:f>IF(B18="Patch",C18*60/D18,C18*'Assumptions'!$B$3*60)</x:f>
        <x:v>120000</x:v>
      </x:c>
      <x:c r="F18" s="11"/>
    </x:row>
    <x:row r="19">
      <x:c r="A19" s="2" t="s">
        <x:v>57</x:v>
      </x:c>
      <x:c r="B19" s="2" t="s">
        <x:v>35</x:v>
      </x:c>
      <x:c r="C19" s="9">
        <x:v>8500.0</x:v>
      </x:c>
      <x:c r="D19" s="6"/>
      <x:c r="E19" s="5" t="n">
        <x:f>IF(B19="Patch",C19*60/D19,C19*'Assumptions'!$B$3*60)</x:f>
        <x:v>510000</x:v>
      </x:c>
      <x:c r="F19" s="11"/>
    </x:row>
    <x:row r="20">
      <x:c r="A20" s="2" t="s">
        <x:v>58</x:v>
      </x:c>
      <x:c r="B20" s="2" t="s">
        <x:v>35</x:v>
      </x:c>
      <x:c r="C20" s="9">
        <x:v>14500.0</x:v>
      </x:c>
      <x:c r="D20" s="6"/>
      <x:c r="E20" s="5" t="n">
        <x:f>IF(B20="Patch",C20*60/D20,C20*'Assumptions'!$B$3*60)</x:f>
        <x:v>870000</x:v>
      </x:c>
      <x:c r="F20" s="11"/>
    </x:row>
    <x:row r="21" ht="15.75" customHeight="1">
      <x:c r="A21" s="2" t="s">
        <x:v>59</x:v>
      </x:c>
      <x:c r="B21" s="2" t="s">
        <x:v>35</x:v>
      </x:c>
      <x:c r="C21" s="9">
        <x:v>25000.0</x:v>
      </x:c>
      <x:c r="D21" s="6"/>
      <x:c r="E21" s="5" t="n">
        <x:f>IF(B21="Patch",C21*60/D21,C21*'Assumptions'!$B$3*60)</x:f>
        <x:v>1500000</x:v>
      </x:c>
      <x:c r="F21" s="11"/>
    </x:row>
    <x:row r="22" ht="15.75" customHeight="1">
      <x:c r="A22" t="str">
        <x:v>LegendaryFeedPlaceholder</x:v>
      </x:c>
      <x:c r="B22" t="str">
        <x:v>Tree</x:v>
      </x:c>
      <x:c r="C22" s="6" t="n">
        <x:v>50000</x:v>
      </x:c>
      <x:c r="D22" s="6"/>
      <x:c r="E22" s="6" t="n">
        <x:f>IF(B22="Patch",C22*60/D22,C22*'Assumptions'!$B$3*60)</x:f>
        <x:v>3000000</x:v>
      </x:c>
      <x:c r="F22" s="11" t="str">
        <x:v>placeholder; Unicorn transition + Golden Chicken-Cow</x:v>
      </x:c>
    </x:row>
    <x:row r="23" ht="15.75" customHeight="1">
      <x:c r="A23" t="str">
        <x:v>MythicalFeedPlaceholder1</x:v>
      </x:c>
      <x:c r="B23" t="str">
        <x:v>Tree</x:v>
      </x:c>
      <x:c r="C23" s="6" t="n">
        <x:v>125000</x:v>
      </x:c>
      <x:c r="D23" s="6"/>
      <x:c r="E23" s="6" t="n">
        <x:f>IF(B23="Patch",C23*60/D23,C23*'Assumptions'!$B$3*60)</x:f>
        <x:v>7500000</x:v>
      </x:c>
      <x:c r="F23" s="11" t="str">
        <x:v>placeholder; Golden Bull-Snail</x:v>
      </x:c>
    </x:row>
    <x:row r="24" ht="15.75" customHeight="1">
      <x:c r="A24" t="str">
        <x:v>MythicalFeedPlaceholder2</x:v>
      </x:c>
      <x:c r="B24" t="str">
        <x:v>Tree</x:v>
      </x:c>
      <x:c r="C24" s="6" t="n">
        <x:v>300000</x:v>
      </x:c>
      <x:c r="D24" s="6"/>
      <x:c r="E24" s="6" t="n">
        <x:f>IF(B24="Patch",C24*60/D24,C24*'Assumptions'!$B$3*60)</x:f>
        <x:v>18000000</x:v>
      </x:c>
      <x:c r="F24" s="11" t="str">
        <x:v>placeholder; Golden Crab-Elephant</x:v>
      </x:c>
    </x:row>
    <x:row r="25" ht="15.75" customHeight="1">
      <x:c r="A25" t="str">
        <x:v>SecretFeedPlaceholder1</x:v>
      </x:c>
      <x:c r="B25" t="str">
        <x:v>Tree</x:v>
      </x:c>
      <x:c r="C25" s="6" t="n">
        <x:v>750000</x:v>
      </x:c>
      <x:c r="D25" s="6"/>
      <x:c r="E25" s="6" t="n">
        <x:f>IF(B25="Patch",C25*60/D25,C25*'Assumptions'!$B$3*60)</x:f>
        <x:v>45000000</x:v>
      </x:c>
      <x:c r="F25" s="11" t="str">
        <x:v>placeholder; Golden Bear-Hydra</x:v>
      </x:c>
    </x:row>
    <x:row r="26" ht="15.75" customHeight="1">
      <x:c r="A26" t="str">
        <x:v>SecretFeedPlaceholder2</x:v>
      </x:c>
      <x:c r="B26" t="str">
        <x:v>Tree</x:v>
      </x:c>
      <x:c r="C26" s="6" t="n">
        <x:v>2000000</x:v>
      </x:c>
      <x:c r="D26" s="6"/>
      <x:c r="E26" s="6" t="n">
        <x:f>IF(B26="Patch",C26*60/D26,C26*'Assumptions'!$B$3*60)</x:f>
        <x:v>120000000</x:v>
      </x:c>
      <x:c r="F26" s="11" t="str">
        <x:v>placeholder; Golden Ankylosaurus-Unicorn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8" customWidth="1"/>
    <x:col min="2" max="2" width="10" customWidth="1"/>
    <x:col min="3" max="3" width="27" hidden="0" customWidth="1"/>
    <x:col min="4" max="4" width="14" customWidth="1"/>
    <x:col min="5" max="5" width="20" customWidth="1"/>
    <x:col min="6" max="6" width="14" customWidth="1"/>
    <x:col min="7" max="7" width="27" hidden="0" customWidth="1"/>
    <x:col min="8" max="8" width="22" hidden="0" customWidth="1"/>
    <x:col min="9" max="9" width="22" hidden="0" customWidth="1"/>
    <x:col min="10" max="10" width="12" customWidth="1"/>
  </x:cols>
  <x:sheetData>
    <x:row r="1">
      <x:c r="A1" s="1" t="s">
        <x:v>60</x:v>
      </x:c>
      <x:c r="B1" s="1" t="s">
        <x:v>61</x:v>
      </x:c>
      <x:c r="C1" s="1" t="s">
        <x:v>62</x:v>
      </x:c>
      <x:c r="D1" s="1" t="s">
        <x:v>63</x:v>
      </x:c>
      <x:c r="E1" s="1" t="s">
        <x:v>64</x:v>
      </x:c>
      <x:c r="F1" s="1" t="s">
        <x:v>65</x:v>
      </x:c>
      <x:c r="G1" s="1" t="s">
        <x:v>66</x:v>
      </x:c>
      <x:c r="H1" s="1" t="s">
        <x:v>67</x:v>
      </x:c>
      <x:c r="I1" s="1" t="s">
        <x:v>68</x:v>
      </x:c>
      <x:c r="J1" s="1" t="s">
        <x:v>69</x:v>
      </x:c>
    </x:row>
    <x:row r="2">
      <x:c r="A2" s="2" t="n">
        <x:v>1</x:v>
      </x:c>
      <x:c r="B2" s="2" t="str">
        <x:v>Pet1</x:v>
      </x:c>
      <x:c r="C2" s="2" t="str">
        <x:v>Chicken</x:v>
      </x:c>
      <x:c r="D2" s="2" t="str">
        <x:v>Common</x:v>
      </x:c>
      <x:c r="E2" s="5" t="n">
        <x:v>1</x:v>
      </x:c>
      <x:c r="F2" s="5" t="n">
        <x:v>25</x:v>
      </x:c>
      <x:c r="G2" s="5" t="s">
        <x:v>34</x:v>
      </x:c>
      <x:c r="H2" s="5" t="n">
        <x:f>IF(G2="","",VLOOKUP(G2,'Feeds'!$A$2:$E$26,5,FALSE))</x:f>
        <x:v>60</x:v>
      </x:c>
      <x:c r="I2" s="7" t="n">
        <x:f t="shared" ref="I2:I54" si="1">IF(OR(F2="",H2=""),"",ROUND(F2/H2,1))</x:f>
        <x:v>0.4</x:v>
      </x:c>
      <x:c r="J2" s="2" t="str">
        <x:v>Pet2</x:v>
      </x:c>
    </x:row>
    <x:row r="3">
      <x:c r="A3" s="2" t="n">
        <x:v>2</x:v>
      </x:c>
      <x:c r="B3" s="2" t="str">
        <x:v>Pet2</x:v>
      </x:c>
      <x:c r="C3" s="2" t="str">
        <x:v>Hamster</x:v>
      </x:c>
      <x:c r="D3" s="2" t="str">
        <x:v>Common</x:v>
      </x:c>
      <x:c r="E3" s="5" t="n">
        <x:v>2</x:v>
      </x:c>
      <x:c r="F3" s="5" t="n">
        <x:v>60</x:v>
      </x:c>
      <x:c r="G3" s="5" t="s">
        <x:v>34</x:v>
      </x:c>
      <x:c r="H3" s="5" t="n">
        <x:f>IF(G3="","",VLOOKUP(G3,'Feeds'!$A$2:$E$26,5,FALSE))</x:f>
        <x:v>60</x:v>
      </x:c>
      <x:c r="I3" s="7" t="n">
        <x:f t="shared" si="1">IF(OR(F3="",H3=""),"",ROUND(F3/H3,1))</x:f>
        <x:v>1</x:v>
      </x:c>
      <x:c r="J3" s="2" t="str">
        <x:v>Pet3</x:v>
      </x:c>
    </x:row>
    <x:row r="4">
      <x:c r="A4" s="2" t="n">
        <x:v>3</x:v>
      </x:c>
      <x:c r="B4" s="2" t="str">
        <x:v>Pet3</x:v>
      </x:c>
      <x:c r="C4" s="2" t="str">
        <x:v>Guienna Pig</x:v>
      </x:c>
      <x:c r="D4" s="2" t="str">
        <x:v>Common</x:v>
      </x:c>
      <x:c r="E4" s="5" t="n">
        <x:v>3</x:v>
      </x:c>
      <x:c r="F4" s="5" t="n">
        <x:v>80</x:v>
      </x:c>
      <x:c r="G4" s="5" t="s">
        <x:v>34</x:v>
      </x:c>
      <x:c r="H4" s="5" t="n">
        <x:f>IF(G4="","",VLOOKUP(G4,'Feeds'!$A$2:$E$26,5,FALSE))</x:f>
        <x:v>60</x:v>
      </x:c>
      <x:c r="I4" s="7" t="n">
        <x:f t="shared" si="1">IF(OR(F4="",H4=""),"",ROUND(F4/H4,1))</x:f>
        <x:v>1.3</x:v>
      </x:c>
      <x:c r="J4" s="2" t="str">
        <x:v>Pet4</x:v>
      </x:c>
    </x:row>
    <x:row r="5">
      <x:c r="A5" s="2" t="n">
        <x:v>4</x:v>
      </x:c>
      <x:c r="B5" s="2" t="str">
        <x:v>Pet4</x:v>
      </x:c>
      <x:c r="C5" s="2" t="str">
        <x:v>Bunny</x:v>
      </x:c>
      <x:c r="D5" s="2" t="str">
        <x:v>Common</x:v>
      </x:c>
      <x:c r="E5" s="5" t="n">
        <x:v>5</x:v>
      </x:c>
      <x:c r="F5" s="5" t="n">
        <x:v>150</x:v>
      </x:c>
      <x:c r="G5" s="5" t="s">
        <x:v>38</x:v>
      </x:c>
      <x:c r="H5" s="5" t="n">
        <x:f>IF(G5="","",VLOOKUP(G5,'Feeds'!$A$2:$E$26,5,FALSE))</x:f>
        <x:v>120</x:v>
      </x:c>
      <x:c r="I5" s="7" t="n">
        <x:f t="shared" si="1">IF(OR(F5="",H5=""),"",ROUND(F5/H5,1))</x:f>
        <x:v>1.3</x:v>
      </x:c>
      <x:c r="J5" s="2" t="str">
        <x:v>Pet5</x:v>
      </x:c>
    </x:row>
    <x:row r="6">
      <x:c r="A6" s="2" t="n">
        <x:v>5</x:v>
      </x:c>
      <x:c r="B6" s="2" t="str">
        <x:v>Pet5</x:v>
      </x:c>
      <x:c r="C6" s="2" t="str">
        <x:v>Pigeon</x:v>
      </x:c>
      <x:c r="D6" s="2" t="str">
        <x:v>Common</x:v>
      </x:c>
      <x:c r="E6" s="5" t="n">
        <x:v>6</x:v>
      </x:c>
      <x:c r="F6" s="5" t="n">
        <x:v>180</x:v>
      </x:c>
      <x:c r="G6" s="5" t="s">
        <x:v>38</x:v>
      </x:c>
      <x:c r="H6" s="5" t="n">
        <x:f>IF(G6="","",VLOOKUP(G6,'Feeds'!$A$2:$E$26,5,FALSE))</x:f>
        <x:v>120</x:v>
      </x:c>
      <x:c r="I6" s="7" t="n">
        <x:f t="shared" si="1">IF(OR(F6="",H6=""),"",ROUND(F6/H6,1))</x:f>
        <x:v>1.5</x:v>
      </x:c>
      <x:c r="J6" s="2" t="str">
        <x:v>Pet6</x:v>
      </x:c>
    </x:row>
    <x:row r="7">
      <x:c r="A7" s="2" t="n">
        <x:v>6</x:v>
      </x:c>
      <x:c r="B7" s="2" t="str">
        <x:v>Pet6</x:v>
      </x:c>
      <x:c r="C7" s="2" t="str">
        <x:v>Parrot</x:v>
      </x:c>
      <x:c r="D7" s="2" t="str">
        <x:v>Common</x:v>
      </x:c>
      <x:c r="E7" s="5" t="n">
        <x:v>8</x:v>
      </x:c>
      <x:c r="F7" s="5" t="n">
        <x:v>200</x:v>
      </x:c>
      <x:c r="G7" s="5" t="s">
        <x:v>38</x:v>
      </x:c>
      <x:c r="H7" s="5" t="n">
        <x:f>IF(G7="","",VLOOKUP(G7,'Feeds'!$A$2:$E$26,5,FALSE))</x:f>
        <x:v>120</x:v>
      </x:c>
      <x:c r="I7" s="7" t="n">
        <x:f t="shared" si="1">IF(OR(F7="",H7=""),"",ROUND(F7/H7,1))</x:f>
        <x:v>1.7</x:v>
      </x:c>
      <x:c r="J7" s="2" t="str">
        <x:v>Pet7</x:v>
      </x:c>
    </x:row>
    <x:row r="8">
      <x:c r="A8" s="2" t="n">
        <x:v>7</x:v>
      </x:c>
      <x:c r="B8" s="2" t="str">
        <x:v>Pet7</x:v>
      </x:c>
      <x:c r="C8" s="2" t="str">
        <x:v>Owl</x:v>
      </x:c>
      <x:c r="D8" s="2" t="str">
        <x:v>Common</x:v>
      </x:c>
      <x:c r="E8" s="5" t="n">
        <x:v>9</x:v>
      </x:c>
      <x:c r="F8" s="5" t="n">
        <x:v>500</x:v>
      </x:c>
      <x:c r="G8" s="5" t="s">
        <x:v>41</x:v>
      </x:c>
      <x:c r="H8" s="5" t="n">
        <x:f>IF(G8="","",VLOOKUP(G8,'Feeds'!$A$2:$E$26,5,FALSE))</x:f>
        <x:v>180</x:v>
      </x:c>
      <x:c r="I8" s="7" t="n">
        <x:f t="shared" si="1">IF(OR(F8="",H8=""),"",ROUND(F8/H8,1))</x:f>
        <x:v>2.8</x:v>
      </x:c>
      <x:c r="J8" s="2" t="str">
        <x:v>Pet8</x:v>
      </x:c>
    </x:row>
    <x:row r="9">
      <x:c r="A9" s="2" t="n">
        <x:v>8</x:v>
      </x:c>
      <x:c r="B9" s="2" t="str">
        <x:v>Pet8</x:v>
      </x:c>
      <x:c r="C9" s="2" t="str">
        <x:v>Bat</x:v>
      </x:c>
      <x:c r="D9" s="2" t="str">
        <x:v>Common</x:v>
      </x:c>
      <x:c r="E9" s="5" t="n">
        <x:v>11</x:v>
      </x:c>
      <x:c r="F9" s="5" t="n">
        <x:v>600</x:v>
      </x:c>
      <x:c r="G9" s="5" t="s">
        <x:v>41</x:v>
      </x:c>
      <x:c r="H9" s="5" t="n">
        <x:f>IF(G9="","",VLOOKUP(G9,'Feeds'!$A$2:$E$26,5,FALSE))</x:f>
        <x:v>180</x:v>
      </x:c>
      <x:c r="I9" s="7" t="n">
        <x:f t="shared" si="1">IF(OR(F9="",H9=""),"",ROUND(F9/H9,1))</x:f>
        <x:v>3.3</x:v>
      </x:c>
      <x:c r="J9" s="2" t="str">
        <x:v>Pet9</x:v>
      </x:c>
    </x:row>
    <x:row r="10">
      <x:c r="A10" s="2" t="n">
        <x:v>9</x:v>
      </x:c>
      <x:c r="B10" s="2" t="str">
        <x:v>Pet9</x:v>
      </x:c>
      <x:c r="C10" s="2" t="str">
        <x:v>Cat</x:v>
      </x:c>
      <x:c r="D10" s="2" t="str">
        <x:v>Common</x:v>
      </x:c>
      <x:c r="E10" s="5" t="n">
        <x:v>12</x:v>
      </x:c>
      <x:c r="F10" s="5" t="n">
        <x:v>850</x:v>
      </x:c>
      <x:c r="G10" s="5" t="s">
        <x:v>43</x:v>
      </x:c>
      <x:c r="H10" s="5" t="n">
        <x:f>IF(G10="","",VLOOKUP(G10,'Feeds'!$A$2:$E$26,5,FALSE))</x:f>
        <x:v>240</x:v>
      </x:c>
      <x:c r="I10" s="7" t="n">
        <x:f t="shared" si="1">IF(OR(F10="",H10=""),"",ROUND(F10/H10,1))</x:f>
        <x:v>3.5</x:v>
      </x:c>
      <x:c r="J10" s="2" t="str">
        <x:v>Pet10</x:v>
      </x:c>
    </x:row>
    <x:row r="11">
      <x:c r="A11" s="2" t="n">
        <x:v>10</x:v>
      </x:c>
      <x:c r="B11" s="2" t="str">
        <x:v>Pet10</x:v>
      </x:c>
      <x:c r="C11" s="2" t="str">
        <x:v>Goat</x:v>
      </x:c>
      <x:c r="D11" s="2" t="str">
        <x:v>Common</x:v>
      </x:c>
      <x:c r="E11" s="5" t="n">
        <x:v>14</x:v>
      </x:c>
      <x:c r="F11" s="5" t="n">
        <x:v>950</x:v>
      </x:c>
      <x:c r="G11" s="5" t="s">
        <x:v>43</x:v>
      </x:c>
      <x:c r="H11" s="5" t="n">
        <x:f>IF(G11="","",VLOOKUP(G11,'Feeds'!$A$2:$E$26,5,FALSE))</x:f>
        <x:v>240</x:v>
      </x:c>
      <x:c r="I11" s="7" t="n">
        <x:f t="shared" si="1">IF(OR(F11="",H11=""),"",ROUND(F11/H11,1))</x:f>
        <x:v>4</x:v>
      </x:c>
      <x:c r="J11" s="2" t="str">
        <x:v>Pet11</x:v>
      </x:c>
    </x:row>
    <x:row r="12">
      <x:c r="A12" s="2" t="n">
        <x:v>11</x:v>
      </x:c>
      <x:c r="B12" s="2" t="str">
        <x:v>Pet11</x:v>
      </x:c>
      <x:c r="C12" s="2" t="str">
        <x:v>Cow</x:v>
      </x:c>
      <x:c r="D12" s="2" t="str">
        <x:v>Rare</x:v>
      </x:c>
      <x:c r="E12" s="5" t="n">
        <x:v>15</x:v>
      </x:c>
      <x:c r="F12" s="5" t="n">
        <x:v>1200</x:v>
      </x:c>
      <x:c r="G12" s="5" t="s">
        <x:v>43</x:v>
      </x:c>
      <x:c r="H12" s="5" t="n">
        <x:f>IF(G12="","",VLOOKUP(G12,'Feeds'!$A$2:$E$26,5,FALSE))</x:f>
        <x:v>240</x:v>
      </x:c>
      <x:c r="I12" s="7" t="n">
        <x:f t="shared" si="1">IF(OR(F12="",H12=""),"",ROUND(F12/H12,1))</x:f>
        <x:v>5</x:v>
      </x:c>
      <x:c r="J12" s="2" t="str">
        <x:v>Pet12</x:v>
      </x:c>
    </x:row>
    <x:row r="13">
      <x:c r="A13" s="2" t="n">
        <x:v>12</x:v>
      </x:c>
      <x:c r="B13" s="2" t="str">
        <x:v>Pet12</x:v>
      </x:c>
      <x:c r="C13" s="2" t="str">
        <x:v>Bull</x:v>
      </x:c>
      <x:c r="D13" s="2" t="str">
        <x:v>Rare</x:v>
      </x:c>
      <x:c r="E13" s="5" t="n">
        <x:v>17</x:v>
      </x:c>
      <x:c r="F13" s="5" t="n">
        <x:v>2000</x:v>
      </x:c>
      <x:c r="G13" s="5" t="s">
        <x:v>44</x:v>
      </x:c>
      <x:c r="H13" s="5" t="n">
        <x:f>IF(G13="","",VLOOKUP(G13,'Feeds'!$A$2:$E$26,5,FALSE))</x:f>
        <x:v>900</x:v>
      </x:c>
      <x:c r="I13" s="7" t="n">
        <x:f t="shared" si="1">IF(OR(F13="",H13=""),"",ROUND(F13/H13,1))</x:f>
        <x:v>2.2</x:v>
      </x:c>
      <x:c r="J13" s="2" t="str">
        <x:v>Pet13</x:v>
      </x:c>
    </x:row>
    <x:row r="14">
      <x:c r="A14" s="2" t="n">
        <x:v>13</x:v>
      </x:c>
      <x:c r="B14" s="2" t="str">
        <x:v>Pet13</x:v>
      </x:c>
      <x:c r="C14" s="2" t="str">
        <x:v>Pony</x:v>
      </x:c>
      <x:c r="D14" s="2" t="str">
        <x:v>Rare</x:v>
      </x:c>
      <x:c r="E14" s="5" t="n">
        <x:v>19</x:v>
      </x:c>
      <x:c r="F14" s="5" t="n">
        <x:v>2500</x:v>
      </x:c>
      <x:c r="G14" s="5" t="s">
        <x:v>44</x:v>
      </x:c>
      <x:c r="H14" s="5" t="n">
        <x:f>IF(G14="","",VLOOKUP(G14,'Feeds'!$A$2:$E$26,5,FALSE))</x:f>
        <x:v>900</x:v>
      </x:c>
      <x:c r="I14" s="7" t="n">
        <x:f t="shared" si="1">IF(OR(F14="",H14=""),"",ROUND(F14/H14,1))</x:f>
        <x:v>2.8</x:v>
      </x:c>
      <x:c r="J14" s="2" t="str">
        <x:v>Pet14</x:v>
      </x:c>
    </x:row>
    <x:row r="15">
      <x:c r="A15" s="2" t="n">
        <x:v>14</x:v>
      </x:c>
      <x:c r="B15" s="2" t="str">
        <x:v>Pet14</x:v>
      </x:c>
      <x:c r="C15" s="2" t="str">
        <x:v>Horse</x:v>
      </x:c>
      <x:c r="D15" s="2" t="str">
        <x:v>Rare</x:v>
      </x:c>
      <x:c r="E15" s="5" t="n">
        <x:v>21</x:v>
      </x:c>
      <x:c r="F15" s="5" t="n">
        <x:v>4500</x:v>
      </x:c>
      <x:c r="G15" s="5" t="s">
        <x:v>45</x:v>
      </x:c>
      <x:c r="H15" s="5" t="n">
        <x:f>IF(G15="","",VLOOKUP(G15,'Feeds'!$A$2:$E$26,5,FALSE))</x:f>
        <x:v>420</x:v>
      </x:c>
      <x:c r="I15" s="7" t="n">
        <x:f t="shared" si="1">IF(OR(F15="",H15=""),"",ROUND(F15/H15,1))</x:f>
        <x:v>10.7</x:v>
      </x:c>
      <x:c r="J15" s="2" t="str">
        <x:v>Pet15</x:v>
      </x:c>
    </x:row>
    <x:row r="16">
      <x:c r="A16" s="2" t="n">
        <x:v>15</x:v>
      </x:c>
      <x:c r="B16" s="2" t="str">
        <x:v>Pet15</x:v>
      </x:c>
      <x:c r="C16" s="2" t="str">
        <x:v>Golden Retriver</x:v>
      </x:c>
      <x:c r="D16" s="2" t="str">
        <x:v>Rare</x:v>
      </x:c>
      <x:c r="E16" s="5" t="n">
        <x:v>24</x:v>
      </x:c>
      <x:c r="F16" s="5" t="n">
        <x:v>5000</x:v>
      </x:c>
      <x:c r="G16" s="5" t="s">
        <x:v>45</x:v>
      </x:c>
      <x:c r="H16" s="5" t="n">
        <x:f>IF(G16="","",VLOOKUP(G16,'Feeds'!$A$2:$E$26,5,FALSE))</x:f>
        <x:v>420</x:v>
      </x:c>
      <x:c r="I16" s="7" t="n">
        <x:f t="shared" si="1">IF(OR(F16="",H16=""),"",ROUND(F16/H16,1))</x:f>
        <x:v>11.9</x:v>
      </x:c>
      <x:c r="J16" s="2" t="str">
        <x:v>Pet16</x:v>
      </x:c>
    </x:row>
    <x:row r="17">
      <x:c r="A17" s="2" t="n">
        <x:v>16</x:v>
      </x:c>
      <x:c r="B17" s="2" t="str">
        <x:v>Pet16</x:v>
      </x:c>
      <x:c r="C17" s="2" t="str">
        <x:v>Llama</x:v>
      </x:c>
      <x:c r="D17" s="2" t="str">
        <x:v>Rare</x:v>
      </x:c>
      <x:c r="E17" s="5" t="n">
        <x:v>27</x:v>
      </x:c>
      <x:c r="F17" s="5" t="n">
        <x:v>6000</x:v>
      </x:c>
      <x:c r="G17" s="5" t="s">
        <x:v>45</x:v>
      </x:c>
      <x:c r="H17" s="5" t="n">
        <x:f>IF(G17="","",VLOOKUP(G17,'Feeds'!$A$2:$E$26,5,FALSE))</x:f>
        <x:v>420</x:v>
      </x:c>
      <x:c r="I17" s="7" t="n">
        <x:f t="shared" si="1">IF(OR(F17="",H17=""),"",ROUND(F17/H17,1))</x:f>
        <x:v>14.3</x:v>
      </x:c>
      <x:c r="J17" s="2" t="str">
        <x:v>Pet17</x:v>
      </x:c>
    </x:row>
    <x:row r="18">
      <x:c r="A18" s="2" t="n">
        <x:v>17</x:v>
      </x:c>
      <x:c r="B18" s="2" t="str">
        <x:v>Pet17</x:v>
      </x:c>
      <x:c r="C18" s="2" t="str">
        <x:v>Capybara</x:v>
      </x:c>
      <x:c r="D18" s="2" t="str">
        <x:v>Rare</x:v>
      </x:c>
      <x:c r="E18" s="5" t="n">
        <x:v>30</x:v>
      </x:c>
      <x:c r="F18" s="5" t="n">
        <x:v>11000</x:v>
      </x:c>
      <x:c r="G18" s="5" t="s">
        <x:v>46</x:v>
      </x:c>
      <x:c r="H18" s="5" t="n">
        <x:f>IF(G18="","",VLOOKUP(G18,'Feeds'!$A$2:$E$26,5,FALSE))</x:f>
        <x:v>1800</x:v>
      </x:c>
      <x:c r="I18" s="7" t="n">
        <x:f t="shared" si="1">IF(OR(F18="",H18=""),"",ROUND(F18/H18,1))</x:f>
        <x:v>6.1</x:v>
      </x:c>
      <x:c r="J18" s="2" t="str">
        <x:v>Pet18</x:v>
      </x:c>
    </x:row>
    <x:row r="19">
      <x:c r="A19" s="2" t="n">
        <x:v>18</x:v>
      </x:c>
      <x:c r="B19" s="2" t="str">
        <x:v>Pet18</x:v>
      </x:c>
      <x:c r="C19" s="2" t="str">
        <x:v>Koala</x:v>
      </x:c>
      <x:c r="D19" s="2" t="str">
        <x:v>Rare</x:v>
      </x:c>
      <x:c r="E19" s="5" t="n">
        <x:v>33</x:v>
      </x:c>
      <x:c r="F19" s="5" t="n">
        <x:v>12000</x:v>
      </x:c>
      <x:c r="G19" s="5" t="s">
        <x:v>46</x:v>
      </x:c>
      <x:c r="H19" s="5" t="n">
        <x:f>IF(G19="","",VLOOKUP(G19,'Feeds'!$A$2:$E$26,5,FALSE))</x:f>
        <x:v>1800</x:v>
      </x:c>
      <x:c r="I19" s="7" t="n">
        <x:f t="shared" si="1">IF(OR(F19="",H19=""),"",ROUND(F19/H19,1))</x:f>
        <x:v>6.7</x:v>
      </x:c>
      <x:c r="J19" s="2" t="str">
        <x:v>Pet19</x:v>
      </x:c>
    </x:row>
    <x:row r="20">
      <x:c r="A20" s="2" t="n">
        <x:v>19</x:v>
      </x:c>
      <x:c r="B20" s="2" t="str">
        <x:v>Pet19</x:v>
      </x:c>
      <x:c r="C20" s="2" t="str">
        <x:v>Turtle</x:v>
      </x:c>
      <x:c r="D20" s="2" t="str">
        <x:v>Rare</x:v>
      </x:c>
      <x:c r="E20" s="5" t="n">
        <x:v>36</x:v>
      </x:c>
      <x:c r="F20" s="5" t="n">
        <x:v>14000</x:v>
      </x:c>
      <x:c r="G20" s="5" t="s">
        <x:v>46</x:v>
      </x:c>
      <x:c r="H20" s="5" t="n">
        <x:f>IF(G20="","",VLOOKUP(G20,'Feeds'!$A$2:$E$26,5,FALSE))</x:f>
        <x:v>1800</x:v>
      </x:c>
      <x:c r="I20" s="7" t="n">
        <x:f t="shared" si="1">IF(OR(F20="",H20=""),"",ROUND(F20/H20,1))</x:f>
        <x:v>7.8</x:v>
      </x:c>
      <x:c r="J20" s="2" t="str">
        <x:v>Pet20</x:v>
      </x:c>
    </x:row>
    <x:row r="21" ht="15.75" customHeight="1">
      <x:c r="A21" s="2" t="n">
        <x:v>20</x:v>
      </x:c>
      <x:c r="B21" s="2" t="str">
        <x:v>Pet20</x:v>
      </x:c>
      <x:c r="C21" s="2" t="str">
        <x:v>Lizard</x:v>
      </x:c>
      <x:c r="D21" s="2" t="str">
        <x:v>Rare</x:v>
      </x:c>
      <x:c r="E21" s="5" t="n">
        <x:v>40</x:v>
      </x:c>
      <x:c r="F21" s="5" t="n">
        <x:v>25000</x:v>
      </x:c>
      <x:c r="G21" s="5" t="s">
        <x:v>47</x:v>
      </x:c>
      <x:c r="H21" s="5" t="n">
        <x:f>IF(G21="","",VLOOKUP(G21,'Feeds'!$A$2:$E$26,5,FALSE))</x:f>
        <x:v>1200</x:v>
      </x:c>
      <x:c r="I21" s="7" t="n">
        <x:f t="shared" si="1">IF(OR(F21="",H21=""),"",ROUND(F21/H21,1))</x:f>
        <x:v>20.8</x:v>
      </x:c>
      <x:c r="J21" s="2" t="str">
        <x:v>Pet21</x:v>
      </x:c>
    </x:row>
    <x:row r="22" ht="15.75" customHeight="1">
      <x:c r="A22" s="2" t="n">
        <x:v>21</x:v>
      </x:c>
      <x:c r="B22" s="2" t="str">
        <x:v>Pet21</x:v>
      </x:c>
      <x:c r="C22" s="2" t="str">
        <x:v>Snail</x:v>
      </x:c>
      <x:c r="D22" s="2" t="str">
        <x:v>Epic</x:v>
      </x:c>
      <x:c r="E22" s="5" t="n">
        <x:v>50</x:v>
      </x:c>
      <x:c r="F22" s="5" t="n">
        <x:v>30000</x:v>
      </x:c>
      <x:c r="G22" s="5" t="s">
        <x:v>47</x:v>
      </x:c>
      <x:c r="H22" s="5" t="n">
        <x:f>IF(G22="","",VLOOKUP(G22,'Feeds'!$A$2:$E$26,5,FALSE))</x:f>
        <x:v>1200</x:v>
      </x:c>
      <x:c r="I22" s="7" t="n">
        <x:f t="shared" si="1">IF(OR(F22="",H22=""),"",ROUND(F22/H22,1))</x:f>
        <x:v>25</x:v>
      </x:c>
      <x:c r="J22" s="2" t="str">
        <x:v>Pet22</x:v>
      </x:c>
    </x:row>
    <x:row r="23" ht="15.75" customHeight="1">
      <x:c r="A23" s="2" t="n">
        <x:v>22</x:v>
      </x:c>
      <x:c r="B23" s="2" t="str">
        <x:v>Pet22</x:v>
      </x:c>
      <x:c r="C23" s="2" t="str">
        <x:v>Crab</x:v>
      </x:c>
      <x:c r="D23" s="2" t="str">
        <x:v>Epic</x:v>
      </x:c>
      <x:c r="E23" s="5" t="n">
        <x:v>56</x:v>
      </x:c>
      <x:c r="F23" s="5" t="n">
        <x:v>55000</x:v>
      </x:c>
      <x:c r="G23" s="5" t="s">
        <x:v>48</x:v>
      </x:c>
      <x:c r="H23" s="5" t="n">
        <x:f>IF(G23="","",VLOOKUP(G23,'Feeds'!$A$2:$E$26,5,FALSE))</x:f>
        <x:v>4500</x:v>
      </x:c>
      <x:c r="I23" s="7" t="n">
        <x:f t="shared" si="1">IF(OR(F23="",H23=""),"",ROUND(F23/H23,1))</x:f>
        <x:v>12.2</x:v>
      </x:c>
      <x:c r="J23" s="2" t="str">
        <x:v>Pet23</x:v>
      </x:c>
    </x:row>
    <x:row r="24" ht="15.75" customHeight="1">
      <x:c r="A24" s="2" t="n">
        <x:v>23</x:v>
      </x:c>
      <x:c r="B24" s="2" t="str">
        <x:v>Pet23</x:v>
      </x:c>
      <x:c r="C24" s="2" t="str">
        <x:v>Goldfish</x:v>
      </x:c>
      <x:c r="D24" s="2" t="str">
        <x:v>Epic</x:v>
      </x:c>
      <x:c r="E24" s="5" t="n">
        <x:v>63</x:v>
      </x:c>
      <x:c r="F24" s="5" t="n">
        <x:v>65000</x:v>
      </x:c>
      <x:c r="G24" s="5" t="s">
        <x:v>48</x:v>
      </x:c>
      <x:c r="H24" s="5" t="n">
        <x:f>IF(G24="","",VLOOKUP(G24,'Feeds'!$A$2:$E$26,5,FALSE))</x:f>
        <x:v>4500</x:v>
      </x:c>
      <x:c r="I24" s="7" t="n">
        <x:f t="shared" si="1">IF(OR(F24="",H24=""),"",ROUND(F24/H24,1))</x:f>
        <x:v>14.4</x:v>
      </x:c>
      <x:c r="J24" s="2" t="str">
        <x:v>Pet24</x:v>
      </x:c>
    </x:row>
    <x:row r="25" ht="15.75" customHeight="1">
      <x:c r="A25" s="2" t="n">
        <x:v>24</x:v>
      </x:c>
      <x:c r="B25" s="2" t="str">
        <x:v>Pet24</x:v>
      </x:c>
      <x:c r="C25" s="2" t="str">
        <x:v>Seal</x:v>
      </x:c>
      <x:c r="D25" s="2" t="str">
        <x:v>Epic</x:v>
      </x:c>
      <x:c r="E25" s="5" t="n">
        <x:v>71</x:v>
      </x:c>
      <x:c r="F25" s="5" t="n">
        <x:v>75000</x:v>
      </x:c>
      <x:c r="G25" s="5" t="s">
        <x:v>48</x:v>
      </x:c>
      <x:c r="H25" s="5" t="n">
        <x:f>IF(G25="","",VLOOKUP(G25,'Feeds'!$A$2:$E$26,5,FALSE))</x:f>
        <x:v>4500</x:v>
      </x:c>
      <x:c r="I25" s="7" t="n">
        <x:f t="shared" si="1">IF(OR(F25="",H25=""),"",ROUND(F25/H25,1))</x:f>
        <x:v>16.7</x:v>
      </x:c>
      <x:c r="J25" s="2" t="str">
        <x:v>Pet25</x:v>
      </x:c>
    </x:row>
    <x:row r="26" ht="15.75" customHeight="1">
      <x:c r="A26" s="2" t="n">
        <x:v>25</x:v>
      </x:c>
      <x:c r="B26" s="2" t="str">
        <x:v>Pet25</x:v>
      </x:c>
      <x:c r="C26" s="2" t="str">
        <x:v>Swordfish</x:v>
      </x:c>
      <x:c r="D26" s="2" t="str">
        <x:v>Epic</x:v>
      </x:c>
      <x:c r="E26" s="5" t="n">
        <x:v>80</x:v>
      </x:c>
      <x:c r="F26" s="5" t="n">
        <x:v>140000</x:v>
      </x:c>
      <x:c r="G26" s="5" t="s">
        <x:v>49</x:v>
      </x:c>
      <x:c r="H26" s="5" t="n">
        <x:f>IF(G26="","",VLOOKUP(G26,'Feeds'!$A$2:$E$26,5,FALSE))</x:f>
        <x:v>3000</x:v>
      </x:c>
      <x:c r="I26" s="7" t="n">
        <x:f t="shared" si="1">IF(OR(F26="",H26=""),"",ROUND(F26/H26,1))</x:f>
        <x:v>46.7</x:v>
      </x:c>
      <x:c r="J26" s="2" t="str">
        <x:v>Pet26</x:v>
      </x:c>
    </x:row>
    <x:row r="27" ht="15.75" customHeight="1">
      <x:c r="A27" s="2" t="n">
        <x:v>26</x:v>
      </x:c>
      <x:c r="B27" s="2" t="str">
        <x:v>Pet26</x:v>
      </x:c>
      <x:c r="C27" s="2" t="str">
        <x:v>Whale</x:v>
      </x:c>
      <x:c r="D27" s="2" t="str">
        <x:v>Epic</x:v>
      </x:c>
      <x:c r="E27" s="5" t="n">
        <x:v>90</x:v>
      </x:c>
      <x:c r="F27" s="5" t="n">
        <x:v>160000</x:v>
      </x:c>
      <x:c r="G27" s="5" t="s">
        <x:v>49</x:v>
      </x:c>
      <x:c r="H27" s="5" t="n">
        <x:f>IF(G27="","",VLOOKUP(G27,'Feeds'!$A$2:$E$26,5,FALSE))</x:f>
        <x:v>3000</x:v>
      </x:c>
      <x:c r="I27" s="7" t="n">
        <x:f t="shared" si="1">IF(OR(F27="",H27=""),"",ROUND(F27/H27,1))</x:f>
        <x:v>53.3</x:v>
      </x:c>
      <x:c r="J27" s="2" t="str">
        <x:v>Pet27</x:v>
      </x:c>
    </x:row>
    <x:row r="28" ht="15.75" customHeight="1">
      <x:c r="A28" s="2" t="n">
        <x:v>27</x:v>
      </x:c>
      <x:c r="B28" s="2" t="str">
        <x:v>Pet27</x:v>
      </x:c>
      <x:c r="C28" s="2" t="str">
        <x:v>Shark</x:v>
      </x:c>
      <x:c r="D28" s="2" t="str">
        <x:v>Epic</x:v>
      </x:c>
      <x:c r="E28" s="5" t="n">
        <x:v>101</x:v>
      </x:c>
      <x:c r="F28" s="5" t="n">
        <x:v>300000</x:v>
      </x:c>
      <x:c r="G28" s="5" t="s">
        <x:v>50</x:v>
      </x:c>
      <x:c r="H28" s="5" t="n">
        <x:f>IF(G28="","",VLOOKUP(G28,'Feeds'!$A$2:$E$26,5,FALSE))</x:f>
        <x:v>12000</x:v>
      </x:c>
      <x:c r="I28" s="7" t="n">
        <x:f t="shared" si="1">IF(OR(F28="",H28=""),"",ROUND(F28/H28,1))</x:f>
        <x:v>25</x:v>
      </x:c>
      <x:c r="J28" s="2" t="str">
        <x:v>Pet28</x:v>
      </x:c>
    </x:row>
    <x:row r="29" ht="15.75" customHeight="1">
      <x:c r="A29" s="2" t="n">
        <x:v>28</x:v>
      </x:c>
      <x:c r="B29" s="2" t="str">
        <x:v>Pet28</x:v>
      </x:c>
      <x:c r="C29" s="2" t="str">
        <x:v>Ostrich</x:v>
      </x:c>
      <x:c r="D29" s="2" t="str">
        <x:v>Epic</x:v>
      </x:c>
      <x:c r="E29" s="5" t="n">
        <x:v>113</x:v>
      </x:c>
      <x:c r="F29" s="5" t="n">
        <x:v>350000</x:v>
      </x:c>
      <x:c r="G29" s="5" t="s">
        <x:v>50</x:v>
      </x:c>
      <x:c r="H29" s="5" t="n">
        <x:f>IF(G29="","",VLOOKUP(G29,'Feeds'!$A$2:$E$26,5,FALSE))</x:f>
        <x:v>12000</x:v>
      </x:c>
      <x:c r="I29" s="7" t="n">
        <x:f t="shared" si="1">IF(OR(F29="",H29=""),"",ROUND(F29/H29,1))</x:f>
        <x:v>29.2</x:v>
      </x:c>
      <x:c r="J29" s="2" t="str">
        <x:v>Pet29</x:v>
      </x:c>
    </x:row>
    <x:row r="30" ht="15.75" customHeight="1">
      <x:c r="A30" s="2" t="n">
        <x:v>29</x:v>
      </x:c>
      <x:c r="B30" s="2" t="str">
        <x:v>Pet29</x:v>
      </x:c>
      <x:c r="C30" s="2" t="str">
        <x:v>Kangaroo</x:v>
      </x:c>
      <x:c r="D30" s="2" t="str">
        <x:v>Epic</x:v>
      </x:c>
      <x:c r="E30" s="5" t="n">
        <x:v>126</x:v>
      </x:c>
      <x:c r="F30" s="5" t="n">
        <x:v>400000</x:v>
      </x:c>
      <x:c r="G30" s="5" t="s">
        <x:v>50</x:v>
      </x:c>
      <x:c r="H30" s="5" t="n">
        <x:f>IF(G30="","",VLOOKUP(G30,'Feeds'!$A$2:$E$26,5,FALSE))</x:f>
        <x:v>12000</x:v>
      </x:c>
      <x:c r="I30" s="7" t="n">
        <x:f t="shared" si="1">IF(OR(F30="",H30=""),"",ROUND(F30/H30,1))</x:f>
        <x:v>33.3</x:v>
      </x:c>
      <x:c r="J30" s="2" t="str">
        <x:v>Pet30</x:v>
      </x:c>
    </x:row>
    <x:row r="31" ht="15.75" customHeight="1">
      <x:c r="A31" s="2" t="n">
        <x:v>30</x:v>
      </x:c>
      <x:c r="B31" s="2" t="str">
        <x:v>Pet30</x:v>
      </x:c>
      <x:c r="C31" s="2" t="str">
        <x:v>Zebra</x:v>
      </x:c>
      <x:c r="D31" s="2" t="str">
        <x:v>Epic</x:v>
      </x:c>
      <x:c r="E31" s="5" t="n">
        <x:v>140</x:v>
      </x:c>
      <x:c r="F31" s="5" t="n">
        <x:v>750000</x:v>
      </x:c>
      <x:c r="G31" s="5" t="s">
        <x:v>51</x:v>
      </x:c>
      <x:c r="H31" s="5" t="n">
        <x:f>IF(G31="","",VLOOKUP(G31,'Feeds'!$A$2:$E$26,5,FALSE))</x:f>
        <x:v>10500</x:v>
      </x:c>
      <x:c r="I31" s="7" t="n">
        <x:f t="shared" si="1">IF(OR(F31="",H31=""),"",ROUND(F31/H31,1))</x:f>
        <x:v>71.4</x:v>
      </x:c>
      <x:c r="J31" s="2" t="str">
        <x:v>Pet31</x:v>
      </x:c>
    </x:row>
    <x:row r="32" ht="15.75" customHeight="1">
      <x:c r="A32" s="2" t="n">
        <x:v>31</x:v>
      </x:c>
      <x:c r="B32" s="2" t="str">
        <x:v>Pet31</x:v>
      </x:c>
      <x:c r="C32" s="2" t="str">
        <x:v>Giraffee</x:v>
      </x:c>
      <x:c r="D32" s="2" t="str">
        <x:v>Epic</x:v>
      </x:c>
      <x:c r="E32" s="5" t="n">
        <x:v>155</x:v>
      </x:c>
      <x:c r="F32" s="5" t="n">
        <x:v>850000</x:v>
      </x:c>
      <x:c r="G32" s="5" t="s">
        <x:v>51</x:v>
      </x:c>
      <x:c r="H32" s="5" t="n">
        <x:f>IF(G32="","",VLOOKUP(G32,'Feeds'!$A$2:$E$26,5,FALSE))</x:f>
        <x:v>10500</x:v>
      </x:c>
      <x:c r="I32" s="7" t="n">
        <x:f t="shared" si="1">IF(OR(F32="",H32=""),"",ROUND(F32/H32,1))</x:f>
        <x:v>81</x:v>
      </x:c>
      <x:c r="J32" s="2" t="str">
        <x:v>Pet32</x:v>
      </x:c>
    </x:row>
    <x:row r="33" ht="15.75" customHeight="1">
      <x:c r="A33" s="2" t="n">
        <x:v>32</x:v>
      </x:c>
      <x:c r="B33" s="2" t="str">
        <x:v>Pet32</x:v>
      </x:c>
      <x:c r="C33" s="2" t="str">
        <x:v>Elephant</x:v>
      </x:c>
      <x:c r="D33" s="2" t="str">
        <x:v>Epic</x:v>
      </x:c>
      <x:c r="E33" s="5" t="n">
        <x:v>171</x:v>
      </x:c>
      <x:c r="F33" s="5" t="n">
        <x:v>1000000</x:v>
      </x:c>
      <x:c r="G33" s="5" t="s">
        <x:v>51</x:v>
      </x:c>
      <x:c r="H33" s="5" t="n">
        <x:f>IF(G33="","",VLOOKUP(G33,'Feeds'!$A$2:$E$26,5,FALSE))</x:f>
        <x:v>10500</x:v>
      </x:c>
      <x:c r="I33" s="7" t="n">
        <x:f t="shared" si="1">IF(OR(F33="",H33=""),"",ROUND(F33/H33,1))</x:f>
        <x:v>95.2</x:v>
      </x:c>
      <x:c r="J33" s="2" t="str">
        <x:v>Pet33</x:v>
      </x:c>
    </x:row>
    <x:row r="34" ht="15.75" customHeight="1">
      <x:c r="A34" s="2" t="n">
        <x:v>33</x:v>
      </x:c>
      <x:c r="B34" s="2" t="str">
        <x:v>Pet33</x:v>
      </x:c>
      <x:c r="C34" s="2" t="str">
        <x:v>Bear</x:v>
      </x:c>
      <x:c r="D34" s="2" t="str">
        <x:v>Epic</x:v>
      </x:c>
      <x:c r="E34" s="5" t="n">
        <x:v>188</x:v>
      </x:c>
      <x:c r="F34" s="5" t="n">
        <x:v>1800000</x:v>
      </x:c>
      <x:c r="G34" s="5" t="s">
        <x:v>52</x:v>
      </x:c>
      <x:c r="H34" s="5" t="n">
        <x:f>IF(G34="","",VLOOKUP(G34,'Feeds'!$A$2:$E$26,5,FALSE))</x:f>
        <x:v>13500</x:v>
      </x:c>
      <x:c r="I34" s="7" t="n">
        <x:f t="shared" si="1">IF(OR(F34="",H34=""),"",ROUND(F34/H34,1))</x:f>
        <x:v>133.3</x:v>
      </x:c>
      <x:c r="J34" s="2" t="str">
        <x:v>Pet34</x:v>
      </x:c>
    </x:row>
    <x:row r="35" ht="15.75" customHeight="1">
      <x:c r="A35" s="2" t="n">
        <x:v>34</x:v>
      </x:c>
      <x:c r="B35" s="2" t="str">
        <x:v>Pet34</x:v>
      </x:c>
      <x:c r="C35" s="2" t="str">
        <x:v>Polar Bear</x:v>
      </x:c>
      <x:c r="D35" s="2" t="str">
        <x:v>Epic</x:v>
      </x:c>
      <x:c r="E35" s="5" t="n">
        <x:v>207</x:v>
      </x:c>
      <x:c r="F35" s="5" t="n">
        <x:v>2000000</x:v>
      </x:c>
      <x:c r="G35" s="5" t="s">
        <x:v>52</x:v>
      </x:c>
      <x:c r="H35" s="5" t="n">
        <x:f>IF(G35="","",VLOOKUP(G35,'Feeds'!$A$2:$E$26,5,FALSE))</x:f>
        <x:v>13500</x:v>
      </x:c>
      <x:c r="I35" s="7" t="n">
        <x:f t="shared" si="1">IF(OR(F35="",H35=""),"",ROUND(F35/H35,1))</x:f>
        <x:v>148.1</x:v>
      </x:c>
      <x:c r="J35" s="2" t="str">
        <x:v>Pet35</x:v>
      </x:c>
    </x:row>
    <x:row r="36" ht="15.75" customHeight="1">
      <x:c r="A36" s="2" t="n">
        <x:v>35</x:v>
      </x:c>
      <x:c r="B36" s="2" t="str">
        <x:v>Pet35</x:v>
      </x:c>
      <x:c r="C36" s="2" t="str">
        <x:v>Gorilla</x:v>
      </x:c>
      <x:c r="D36" s="2" t="str">
        <x:v>Epic</x:v>
      </x:c>
      <x:c r="E36" s="5" t="n">
        <x:v>228</x:v>
      </x:c>
      <x:c r="F36" s="5" t="n">
        <x:v>4000000</x:v>
      </x:c>
      <x:c r="G36" s="5" t="s">
        <x:v>53</x:v>
      </x:c>
      <x:c r="H36" s="5" t="n">
        <x:f>IF(G36="","",VLOOKUP(G36,'Feeds'!$A$2:$E$26,5,FALSE))</x:f>
        <x:v>54000</x:v>
      </x:c>
      <x:c r="I36" s="7" t="n">
        <x:f t="shared" si="1">IF(OR(F36="",H36=""),"",ROUND(F36/H36,1))</x:f>
        <x:v>74.1</x:v>
      </x:c>
      <x:c r="J36" s="2" t="str">
        <x:v>Pet36</x:v>
      </x:c>
    </x:row>
    <x:row r="37" ht="15.75" customHeight="1">
      <x:c r="A37" s="2" t="n">
        <x:v>36</x:v>
      </x:c>
      <x:c r="B37" s="2" t="str">
        <x:v>Pet36</x:v>
      </x:c>
      <x:c r="C37" s="2" t="str">
        <x:v>Wolf</x:v>
      </x:c>
      <x:c r="D37" s="2" t="str">
        <x:v>Epic</x:v>
      </x:c>
      <x:c r="E37" s="5" t="n">
        <x:v>250</x:v>
      </x:c>
      <x:c r="F37" s="5" t="n">
        <x:v>4500000</x:v>
      </x:c>
      <x:c r="G37" s="5" t="s">
        <x:v>53</x:v>
      </x:c>
      <x:c r="H37" s="5" t="n">
        <x:f>IF(G37="","",VLOOKUP(G37,'Feeds'!$A$2:$E$26,5,FALSE))</x:f>
        <x:v>54000</x:v>
      </x:c>
      <x:c r="I37" s="7" t="n">
        <x:f t="shared" si="1">IF(OR(F37="",H37=""),"",ROUND(F37/H37,1))</x:f>
        <x:v>83.3</x:v>
      </x:c>
      <x:c r="J37" s="2" t="str">
        <x:v>Pet37</x:v>
      </x:c>
    </x:row>
    <x:row r="38" ht="15.75" customHeight="1">
      <x:c r="A38" s="2" t="n">
        <x:v>37</x:v>
      </x:c>
      <x:c r="B38" s="2" t="str">
        <x:v>Pet37</x:v>
      </x:c>
      <x:c r="C38" s="2" t="str">
        <x:v>Lion</x:v>
      </x:c>
      <x:c r="D38" s="2" t="str">
        <x:v>Legendary</x:v>
      </x:c>
      <x:c r="E38" s="5" t="n">
        <x:v>300</x:v>
      </x:c>
      <x:c r="F38" s="5" t="n">
        <x:v>5000000</x:v>
      </x:c>
      <x:c r="G38" s="5" t="s">
        <x:v>53</x:v>
      </x:c>
      <x:c r="H38" s="5" t="n">
        <x:f>IF(G38="","",VLOOKUP(G38,'Feeds'!$A$2:$E$26,5,FALSE))</x:f>
        <x:v>54000</x:v>
      </x:c>
      <x:c r="I38" s="7" t="n">
        <x:f t="shared" si="1">IF(OR(F38="",H38=""),"",ROUND(F38/H38,1))</x:f>
        <x:v>92.6</x:v>
      </x:c>
      <x:c r="J38" s="2" t="str">
        <x:v>Pet38</x:v>
      </x:c>
    </x:row>
    <x:row r="39" ht="15.75" customHeight="1">
      <x:c r="A39" s="2" t="n">
        <x:v>38</x:v>
      </x:c>
      <x:c r="B39" s="2" t="str">
        <x:v>Pet38</x:v>
      </x:c>
      <x:c r="C39" s="2" t="str">
        <x:v>Tiger</x:v>
      </x:c>
      <x:c r="D39" s="2" t="str">
        <x:v>Legendary</x:v>
      </x:c>
      <x:c r="E39" s="5" t="n">
        <x:v>330</x:v>
      </x:c>
      <x:c r="F39" s="5" t="n">
        <x:v>10000000</x:v>
      </x:c>
      <x:c r="G39" s="5" t="s">
        <x:v>54</x:v>
      </x:c>
      <x:c r="H39" s="5" t="n">
        <x:f>IF(G39="","",VLOOKUP(G39,'Feeds'!$A$2:$E$26,5,FALSE))</x:f>
        <x:v>39000</x:v>
      </x:c>
      <x:c r="I39" s="7" t="n">
        <x:f t="shared" si="1">IF(OR(F39="",H39=""),"",ROUND(F39/H39,1))</x:f>
        <x:v>256.4</x:v>
      </x:c>
      <x:c r="J39" s="2" t="str">
        <x:v>Pet39</x:v>
      </x:c>
    </x:row>
    <x:row r="40" ht="15.75" customHeight="1">
      <x:c r="A40" s="2" t="n">
        <x:v>39</x:v>
      </x:c>
      <x:c r="B40" s="2" t="str">
        <x:v>Pet39</x:v>
      </x:c>
      <x:c r="C40" s="2" t="str">
        <x:v>Crocodile</x:v>
      </x:c>
      <x:c r="D40" s="2" t="str">
        <x:v>Legendary</x:v>
      </x:c>
      <x:c r="E40" s="5" t="n">
        <x:v>360</x:v>
      </x:c>
      <x:c r="F40" s="5" t="n">
        <x:v>12000000</x:v>
      </x:c>
      <x:c r="G40" s="5" t="s">
        <x:v>54</x:v>
      </x:c>
      <x:c r="H40" s="5" t="n">
        <x:f>IF(G40="","",VLOOKUP(G40,'Feeds'!$A$2:$E$26,5,FALSE))</x:f>
        <x:v>39000</x:v>
      </x:c>
      <x:c r="I40" s="7" t="n">
        <x:f t="shared" si="1">IF(OR(F40="",H40=""),"",ROUND(F40/H40,1))</x:f>
        <x:v>307.7</x:v>
      </x:c>
      <x:c r="J40" s="2" t="str">
        <x:v>Pet40</x:v>
      </x:c>
    </x:row>
    <x:row r="41" ht="15.75" customHeight="1">
      <x:c r="A41" s="2" t="n">
        <x:v>40</x:v>
      </x:c>
      <x:c r="B41" s="2" t="str">
        <x:v>Pet40</x:v>
      </x:c>
      <x:c r="C41" s="2" t="str">
        <x:v>Snake</x:v>
      </x:c>
      <x:c r="D41" s="2" t="str">
        <x:v>Legendary</x:v>
      </x:c>
      <x:c r="E41" s="5" t="n">
        <x:v>395</x:v>
      </x:c>
      <x:c r="F41" s="5" t="n">
        <x:v>23000000</x:v>
      </x:c>
      <x:c r="G41" s="5" t="s">
        <x:v>55</x:v>
      </x:c>
      <x:c r="H41" s="5" t="n">
        <x:f>IF(G41="","",VLOOKUP(G41,'Feeds'!$A$2:$E$26,5,FALSE))</x:f>
        <x:v>165000</x:v>
      </x:c>
      <x:c r="I41" s="7" t="n">
        <x:f t="shared" si="1">IF(OR(F41="",H41=""),"",ROUND(F41/H41,1))</x:f>
        <x:v>139.4</x:v>
      </x:c>
      <x:c r="J41" s="2" t="str">
        <x:v>Pet41</x:v>
      </x:c>
    </x:row>
    <x:row r="42" ht="15.75" customHeight="1">
      <x:c r="A42" s="2" t="n">
        <x:v>41</x:v>
      </x:c>
      <x:c r="B42" s="2" t="str">
        <x:v>Pet41</x:v>
      </x:c>
      <x:c r="C42" s="2" t="str">
        <x:v>Cobra</x:v>
      </x:c>
      <x:c r="D42" s="2" t="str">
        <x:v>Legendary</x:v>
      </x:c>
      <x:c r="E42" s="5" t="n">
        <x:v>430</x:v>
      </x:c>
      <x:c r="F42" s="5" t="n">
        <x:v>26000000</x:v>
      </x:c>
      <x:c r="G42" s="5" t="s">
        <x:v>55</x:v>
      </x:c>
      <x:c r="H42" s="5" t="n">
        <x:f>IF(G42="","",VLOOKUP(G42,'Feeds'!$A$2:$E$26,5,FALSE))</x:f>
        <x:v>165000</x:v>
      </x:c>
      <x:c r="I42" s="7" t="n">
        <x:f t="shared" si="1">IF(OR(F42="",H42=""),"",ROUND(F42/H42,1))</x:f>
        <x:v>157.6</x:v>
      </x:c>
      <x:c r="J42" s="2" t="str">
        <x:v>Pet42</x:v>
      </x:c>
    </x:row>
    <x:row r="43" ht="15.75" customHeight="1">
      <x:c r="A43" s="2" t="n">
        <x:v>42</x:v>
      </x:c>
      <x:c r="B43" s="2" t="str">
        <x:v>Pet42</x:v>
      </x:c>
      <x:c r="C43" s="2" t="str">
        <x:v>Hydra</x:v>
      </x:c>
      <x:c r="D43" s="2" t="str">
        <x:v>Legendary</x:v>
      </x:c>
      <x:c r="E43" s="5" t="n">
        <x:v>470</x:v>
      </x:c>
      <x:c r="F43" s="5" t="n">
        <x:v>30000000</x:v>
      </x:c>
      <x:c r="G43" s="5" t="s">
        <x:v>55</x:v>
      </x:c>
      <x:c r="H43" s="5" t="n">
        <x:f>IF(G43="","",VLOOKUP(G43,'Feeds'!$A$2:$E$26,5,FALSE))</x:f>
        <x:v>165000</x:v>
      </x:c>
      <x:c r="I43" s="7" t="n">
        <x:f t="shared" si="1">IF(OR(F43="",H43=""),"",ROUND(F43/H43,1))</x:f>
        <x:v>181.8</x:v>
      </x:c>
      <x:c r="J43" s="2" t="str">
        <x:v>Pet43</x:v>
      </x:c>
    </x:row>
    <x:row r="44" ht="15.75" customHeight="1">
      <x:c r="A44" s="2" t="n">
        <x:v>43</x:v>
      </x:c>
      <x:c r="B44" s="2" t="str">
        <x:v>Pet43</x:v>
      </x:c>
      <x:c r="C44" s="2" t="str">
        <x:v>Ankylosaurus</x:v>
      </x:c>
      <x:c r="D44" s="2" t="str">
        <x:v>Legendary</x:v>
      </x:c>
      <x:c r="E44" s="5" t="n">
        <x:v>510</x:v>
      </x:c>
      <x:c r="F44" s="5" t="n">
        <x:v>60000000</x:v>
      </x:c>
      <x:c r="G44" s="5" t="s">
        <x:v>56</x:v>
      </x:c>
      <x:c r="H44" s="5" t="n">
        <x:f>IF(G44="","",VLOOKUP(G44,'Feeds'!$A$2:$E$26,5,FALSE))</x:f>
        <x:v>120000</x:v>
      </x:c>
      <x:c r="I44" s="7" t="n">
        <x:f t="shared" si="1">IF(OR(F44="",H44=""),"",ROUND(F44/H44,1))</x:f>
        <x:v>500</x:v>
      </x:c>
      <x:c r="J44" s="2" t="str">
        <x:v>Pet44</x:v>
      </x:c>
    </x:row>
    <x:row r="45" ht="15.75" customHeight="1">
      <x:c r="A45" s="2" t="n">
        <x:v>44</x:v>
      </x:c>
      <x:c r="B45" s="2" t="str">
        <x:v>Pet44</x:v>
      </x:c>
      <x:c r="C45" s="2" t="str">
        <x:v>Triceratops</x:v>
      </x:c>
      <x:c r="D45" s="2" t="str">
        <x:v>Legendary</x:v>
      </x:c>
      <x:c r="E45" s="5" t="n">
        <x:v>550</x:v>
      </x:c>
      <x:c r="F45" s="5" t="n">
        <x:v>70000000</x:v>
      </x:c>
      <x:c r="G45" s="5" t="s">
        <x:v>56</x:v>
      </x:c>
      <x:c r="H45" s="5" t="n">
        <x:f>IF(G45="","",VLOOKUP(G45,'Feeds'!$A$2:$E$26,5,FALSE))</x:f>
        <x:v>120000</x:v>
      </x:c>
      <x:c r="I45" s="7" t="n">
        <x:f t="shared" si="1">IF(OR(F45="",H45=""),"",ROUND(F45/H45,1))</x:f>
        <x:v>583.3</x:v>
      </x:c>
      <x:c r="J45" s="2" t="str">
        <x:v>Pet45</x:v>
      </x:c>
    </x:row>
    <x:row r="46" ht="15.75" customHeight="1">
      <x:c r="A46" s="2" t="n">
        <x:v>45</x:v>
      </x:c>
      <x:c r="B46" s="2" t="str">
        <x:v>Pet45</x:v>
      </x:c>
      <x:c r="C46" s="2" t="str">
        <x:v>Gallimimus</x:v>
      </x:c>
      <x:c r="D46" s="2" t="str">
        <x:v>Legendary</x:v>
      </x:c>
      <x:c r="E46" s="5" t="n">
        <x:v>595</x:v>
      </x:c>
      <x:c r="F46" s="5" t="n">
        <x:v>80000000</x:v>
      </x:c>
      <x:c r="G46" s="5" t="s">
        <x:v>56</x:v>
      </x:c>
      <x:c r="H46" s="5" t="n">
        <x:f>IF(G46="","",VLOOKUP(G46,'Feeds'!$A$2:$E$26,5,FALSE))</x:f>
        <x:v>120000</x:v>
      </x:c>
      <x:c r="I46" s="7" t="n">
        <x:f t="shared" si="1">IF(OR(F46="",H46=""),"",ROUND(F46/H46,1))</x:f>
        <x:v>666.7</x:v>
      </x:c>
      <x:c r="J46" s="2" t="str">
        <x:v>Pet46</x:v>
      </x:c>
    </x:row>
    <x:row r="47" ht="15.75" customHeight="1">
      <x:c r="A47" s="2" t="n">
        <x:v>46</x:v>
      </x:c>
      <x:c r="B47" s="2" t="str">
        <x:v>Pet46</x:v>
      </x:c>
      <x:c r="C47" s="2" t="str">
        <x:v>Velicoraptor</x:v>
      </x:c>
      <x:c r="D47" s="2" t="str">
        <x:v>Legendary</x:v>
      </x:c>
      <x:c r="E47" s="5" t="n">
        <x:v>640</x:v>
      </x:c>
      <x:c r="F47" s="5" t="n">
        <x:v>150000000</x:v>
      </x:c>
      <x:c r="G47" s="5" t="s">
        <x:v>57</x:v>
      </x:c>
      <x:c r="H47" s="5" t="n">
        <x:f>IF(G47="","",VLOOKUP(G47,'Feeds'!$A$2:$E$26,5,FALSE))</x:f>
        <x:v>510000</x:v>
      </x:c>
      <x:c r="I47" s="7" t="n">
        <x:f t="shared" si="1">IF(OR(F47="",H47=""),"",ROUND(F47/H47,1))</x:f>
        <x:v>294.1</x:v>
      </x:c>
      <x:c r="J47" s="2" t="str">
        <x:v>Pet47</x:v>
      </x:c>
    </x:row>
    <x:row r="48" ht="15.75" customHeight="1">
      <x:c r="A48" s="2" t="n">
        <x:v>47</x:v>
      </x:c>
      <x:c r="B48" s="2" t="str">
        <x:v>Pet47</x:v>
      </x:c>
      <x:c r="C48" s="2" t="str">
        <x:v>Brachiosaurus</x:v>
      </x:c>
      <x:c r="D48" s="2" t="str">
        <x:v>Legendary</x:v>
      </x:c>
      <x:c r="E48" s="5" t="n">
        <x:v>690</x:v>
      </x:c>
      <x:c r="F48" s="5" t="n">
        <x:v>170000000</x:v>
      </x:c>
      <x:c r="G48" s="5" t="s">
        <x:v>57</x:v>
      </x:c>
      <x:c r="H48" s="5" t="n">
        <x:f>IF(G48="","",VLOOKUP(G48,'Feeds'!$A$2:$E$26,5,FALSE))</x:f>
        <x:v>510000</x:v>
      </x:c>
      <x:c r="I48" s="7" t="n">
        <x:f t="shared" si="1">IF(OR(F48="",H48=""),"",ROUND(F48/H48,1))</x:f>
        <x:v>333.3</x:v>
      </x:c>
      <x:c r="J48" s="2" t="str">
        <x:v>Pet48</x:v>
      </x:c>
    </x:row>
    <x:row r="49" ht="15.75" customHeight="1">
      <x:c r="A49" s="2" t="n">
        <x:v>48</x:v>
      </x:c>
      <x:c r="B49" s="2" t="str">
        <x:v>Pet48</x:v>
      </x:c>
      <x:c r="C49" s="2" t="str">
        <x:v>Spinosaurus</x:v>
      </x:c>
      <x:c r="D49" s="2" t="str">
        <x:v>Legendary</x:v>
      </x:c>
      <x:c r="E49" s="5" t="n">
        <x:v>745</x:v>
      </x:c>
      <x:c r="F49" s="5" t="n">
        <x:v>320000000</x:v>
      </x:c>
      <x:c r="G49" s="5" t="s">
        <x:v>58</x:v>
      </x:c>
      <x:c r="H49" s="5" t="n">
        <x:f>IF(G49="","",VLOOKUP(G49,'Feeds'!$A$2:$E$26,5,FALSE))</x:f>
        <x:v>870000</x:v>
      </x:c>
      <x:c r="I49" s="7" t="n">
        <x:f t="shared" si="1">IF(OR(F49="",H49=""),"",ROUND(F49/H49,1))</x:f>
        <x:v>367.8</x:v>
      </x:c>
      <x:c r="J49" s="2" t="str">
        <x:v>Pet49</x:v>
      </x:c>
    </x:row>
    <x:row r="50" ht="15.75" customHeight="1">
      <x:c r="A50" s="2" t="n">
        <x:v>49</x:v>
      </x:c>
      <x:c r="B50" s="2" t="str">
        <x:v>Pet49</x:v>
      </x:c>
      <x:c r="C50" s="2" t="str">
        <x:v>T-Rex</x:v>
      </x:c>
      <x:c r="D50" s="2" t="str">
        <x:v>Legendary</x:v>
      </x:c>
      <x:c r="E50" s="5" t="n">
        <x:v>800</x:v>
      </x:c>
      <x:c r="F50" s="5" t="n">
        <x:v>360000000</x:v>
      </x:c>
      <x:c r="G50" s="5" t="s">
        <x:v>58</x:v>
      </x:c>
      <x:c r="H50" s="5" t="n">
        <x:f>IF(G50="","",VLOOKUP(G50,'Feeds'!$A$2:$E$26,5,FALSE))</x:f>
        <x:v>870000</x:v>
      </x:c>
      <x:c r="I50" s="7" t="n">
        <x:f t="shared" si="1">IF(OR(F50="",H50=""),"",ROUND(F50/H50,1))</x:f>
        <x:v>413.8</x:v>
      </x:c>
      <x:c r="J50" s="2" t="str">
        <x:v>Pet50</x:v>
      </x:c>
    </x:row>
    <x:row r="51" ht="15.75" customHeight="1">
      <x:c r="A51" s="2" t="n">
        <x:v>50</x:v>
      </x:c>
      <x:c r="B51" s="2" t="str">
        <x:v>Pet50</x:v>
      </x:c>
      <x:c r="C51" s="2" t="str">
        <x:v>Mammoth</x:v>
      </x:c>
      <x:c r="D51" s="2" t="str">
        <x:v>Mythical</x:v>
      </x:c>
      <x:c r="E51" s="5" t="n">
        <x:v>850</x:v>
      </x:c>
      <x:c r="F51" s="5" t="n">
        <x:v>500000000</x:v>
      </x:c>
      <x:c r="G51" s="5" t="s">
        <x:v>58</x:v>
      </x:c>
      <x:c r="H51" s="5" t="n">
        <x:f>IF(G51="","",VLOOKUP(G51,'Feeds'!$A$2:$E$26,5,FALSE))</x:f>
        <x:v>870000</x:v>
      </x:c>
      <x:c r="I51" s="7" t="n">
        <x:f t="shared" si="1">IF(OR(F51="",H51=""),"",ROUND(F51/H51,1))</x:f>
        <x:v>574.7</x:v>
      </x:c>
      <x:c r="J51" s="2" t="str">
        <x:v>Pet51</x:v>
      </x:c>
    </x:row>
    <x:row r="52" ht="15.75" customHeight="1">
      <x:c r="A52" s="2" t="n">
        <x:v>51</x:v>
      </x:c>
      <x:c r="B52" s="2" t="str">
        <x:v>Pet51</x:v>
      </x:c>
      <x:c r="C52" s="2" t="str">
        <x:v>Mosasaurus</x:v>
      </x:c>
      <x:c r="D52" s="2" t="str">
        <x:v>Mythical</x:v>
      </x:c>
      <x:c r="E52" s="5" t="n">
        <x:v>900</x:v>
      </x:c>
      <x:c r="F52" s="5" t="n">
        <x:v>1200000000</x:v>
      </x:c>
      <x:c r="G52" s="5" t="s">
        <x:v>59</x:v>
      </x:c>
      <x:c r="H52" s="5" t="n">
        <x:f>IF(G52="","",VLOOKUP(G52,'Feeds'!$A$2:$E$26,5,FALSE))</x:f>
        <x:v>1500000</x:v>
      </x:c>
      <x:c r="I52" s="7" t="n">
        <x:f t="shared" si="1">IF(OR(F52="",H52=""),"",ROUND(F52/H52,1))</x:f>
        <x:v>800</x:v>
      </x:c>
      <x:c r="J52" s="2" t="str">
        <x:v>Pet52</x:v>
      </x:c>
    </x:row>
    <x:row r="53" ht="15.75" customHeight="1">
      <x:c r="A53" s="2" t="n">
        <x:v>52</x:v>
      </x:c>
      <x:c r="B53" s="2" t="str">
        <x:v>Pet52</x:v>
      </x:c>
      <x:c r="C53" s="2" t="str">
        <x:v>Kitsune</x:v>
      </x:c>
      <x:c r="D53" s="2" t="str">
        <x:v>Mythical</x:v>
      </x:c>
      <x:c r="E53" s="5" t="n">
        <x:v>950</x:v>
      </x:c>
      <x:c r="F53" s="5" t="n">
        <x:v>1600000000</x:v>
      </x:c>
      <x:c r="G53" s="5" t="s">
        <x:v>59</x:v>
      </x:c>
      <x:c r="H53" s="5" t="n">
        <x:f>IF(G53="","",VLOOKUP(G53,'Feeds'!$A$2:$E$26,5,FALSE))</x:f>
        <x:v>1500000</x:v>
      </x:c>
      <x:c r="I53" s="7" t="n">
        <x:f t="shared" si="1">IF(OR(F53="",H53=""),"",ROUND(F53/H53,1))</x:f>
        <x:v>1066.7</x:v>
      </x:c>
      <x:c r="J53" s="2" t="str">
        <x:v>Pet53</x:v>
      </x:c>
    </x:row>
    <x:row r="54" ht="15.75" customHeight="1">
      <x:c r="A54" s="2" t="n">
        <x:v>53</x:v>
      </x:c>
      <x:c r="B54" s="2" t="str">
        <x:v>Pet53</x:v>
      </x:c>
      <x:c r="C54" s="2" t="str">
        <x:v>Unicorn</x:v>
      </x:c>
      <x:c r="D54" s="2" t="str">
        <x:v>Mythical</x:v>
      </x:c>
      <x:c r="E54" s="5" t="n">
        <x:v>1000</x:v>
      </x:c>
      <x:c r="F54" s="6" t="n">
        <x:f>ROUND(1000*H54,0)</x:f>
        <x:v>3000000000</x:v>
      </x:c>
      <x:c r="G54" s="6" t="str">
        <x:v>LegendaryFeedPlaceholder</x:v>
      </x:c>
      <x:c r="H54" s="5" t="n">
        <x:f>IF(G54="","",VLOOKUP(G54,'Feeds'!$A$2:$E$26,5,FALSE))</x:f>
        <x:v>3000000</x:v>
      </x:c>
      <x:c r="I54" s="7" t="n">
        <x:f t="shared" si="1">IF(OR(F54="",H54=""),"",ROUND(F54/H54,1))</x:f>
        <x:v>1000</x:v>
      </x:c>
      <x:c r="J54" t="str">
        <x:v>Pet54</x:v>
      </x:c>
    </x:row>
    <x:row r="55" ht="15.75" customHeight="1">
      <x:c r="A55" t="n">
        <x:v>54</x:v>
      </x:c>
      <x:c r="B55" t="str">
        <x:v>Pet54</x:v>
      </x:c>
      <x:c r="C55" t="str">
        <x:v>Golden Chicken</x:v>
      </x:c>
      <x:c r="D55" t="str">
        <x:v>Common</x:v>
      </x:c>
      <x:c r="E55" s="6" t="n">
        <x:f>ROUND($E$54*(1.05^(A55-$A$54)),2-INT(LOG10($E$54*(1.05^(A55-$A$54)))))</x:f>
        <x:v>1050</x:v>
      </x:c>
      <x:c r="F55" s="6" t="n">
        <x:f>ROUND(20*H55,2-INT(LOG10(20*H55)))</x:f>
        <x:v>60000000</x:v>
      </x:c>
      <x:c r="G55" s="6" t="str">
        <x:v>LegendaryFeedPlaceholder</x:v>
      </x:c>
      <x:c r="H55" s="6" t="n">
        <x:f>IF(G55="","",VLOOKUP(G55,'Feeds'!$A$2:$E$26,5,FALSE))</x:f>
        <x:v>3000000</x:v>
      </x:c>
      <x:c r="I55" s="8" t="n">
        <x:f>IF(OR(F55="",H55=""),"",ROUND(F55/H55,1))</x:f>
        <x:v>20</x:v>
      </x:c>
      <x:c r="J55" t="str">
        <x:v>Pet55</x:v>
      </x:c>
    </x:row>
    <x:row r="56" ht="15.75" customHeight="1">
      <x:c r="A56" t="n">
        <x:v>55</x:v>
      </x:c>
      <x:c r="B56" t="str">
        <x:v>Pet55</x:v>
      </x:c>
      <x:c r="C56" t="str">
        <x:v>Golden Hamster</x:v>
      </x:c>
      <x:c r="D56" t="str">
        <x:v>Common</x:v>
      </x:c>
      <x:c r="E56" s="6" t="n">
        <x:f>ROUND($E$54*(1.05^(A56-$A$54)),2-INT(LOG10($E$54*(1.05^(A56-$A$54)))))</x:f>
        <x:v>1100</x:v>
      </x:c>
      <x:c r="F56" s="6" t="n">
        <x:f>ROUND(45*H56,2-INT(LOG10(45*H56)))</x:f>
        <x:v>135000000</x:v>
      </x:c>
      <x:c r="G56" s="6" t="str">
        <x:v>LegendaryFeedPlaceholder</x:v>
      </x:c>
      <x:c r="H56" s="6" t="n">
        <x:f>IF(G56="","",VLOOKUP(G56,'Feeds'!$A$2:$E$26,5,FALSE))</x:f>
        <x:v>3000000</x:v>
      </x:c>
      <x:c r="I56" s="8" t="n">
        <x:f>IF(OR(F56="",H56=""),"",ROUND(F56/H56,1))</x:f>
        <x:v>45</x:v>
      </x:c>
      <x:c r="J56" t="str">
        <x:v>Pet56</x:v>
      </x:c>
    </x:row>
    <x:row r="57" ht="15.75" customHeight="1">
      <x:c r="A57" t="n">
        <x:v>56</x:v>
      </x:c>
      <x:c r="B57" t="str">
        <x:v>Pet56</x:v>
      </x:c>
      <x:c r="C57" t="str">
        <x:v>Golden Guienna Pig</x:v>
      </x:c>
      <x:c r="D57" t="str">
        <x:v>Common</x:v>
      </x:c>
      <x:c r="E57" s="6" t="n">
        <x:f>ROUND($E$54*(1.05^(A57-$A$54)),2-INT(LOG10($E$54*(1.05^(A57-$A$54)))))</x:f>
        <x:v>1160</x:v>
      </x:c>
      <x:c r="F57" s="6" t="n">
        <x:f>ROUND(60*H57,2-INT(LOG10(60*H57)))</x:f>
        <x:v>180000000</x:v>
      </x:c>
      <x:c r="G57" s="6" t="str">
        <x:v>LegendaryFeedPlaceholder</x:v>
      </x:c>
      <x:c r="H57" s="6" t="n">
        <x:f>IF(G57="","",VLOOKUP(G57,'Feeds'!$A$2:$E$26,5,FALSE))</x:f>
        <x:v>3000000</x:v>
      </x:c>
      <x:c r="I57" s="8" t="n">
        <x:f>IF(OR(F57="",H57=""),"",ROUND(F57/H57,1))</x:f>
        <x:v>60</x:v>
      </x:c>
      <x:c r="J57" t="str">
        <x:v>Pet57</x:v>
      </x:c>
    </x:row>
    <x:row r="58" ht="15.75" customHeight="1">
      <x:c r="A58" t="n">
        <x:v>57</x:v>
      </x:c>
      <x:c r="B58" t="str">
        <x:v>Pet57</x:v>
      </x:c>
      <x:c r="C58" t="str">
        <x:v>Golden Bunny</x:v>
      </x:c>
      <x:c r="D58" t="str">
        <x:v>Common</x:v>
      </x:c>
      <x:c r="E58" s="6" t="n">
        <x:f>ROUND($E$54*(1.05^(A58-$A$54)),2-INT(LOG10($E$54*(1.05^(A58-$A$54)))))</x:f>
        <x:v>1220</x:v>
      </x:c>
      <x:c r="F58" s="6" t="n">
        <x:f>ROUND(100*H58,2-INT(LOG10(100*H58)))</x:f>
        <x:v>300000000</x:v>
      </x:c>
      <x:c r="G58" s="6" t="str">
        <x:v>LegendaryFeedPlaceholder</x:v>
      </x:c>
      <x:c r="H58" s="6" t="n">
        <x:f>IF(G58="","",VLOOKUP(G58,'Feeds'!$A$2:$E$26,5,FALSE))</x:f>
        <x:v>3000000</x:v>
      </x:c>
      <x:c r="I58" s="8" t="n">
        <x:f>IF(OR(F58="",H58=""),"",ROUND(F58/H58,1))</x:f>
        <x:v>100</x:v>
      </x:c>
      <x:c r="J58" t="str">
        <x:v>Pet58</x:v>
      </x:c>
    </x:row>
    <x:row r="59" ht="15.75" customHeight="1">
      <x:c r="A59" t="n">
        <x:v>58</x:v>
      </x:c>
      <x:c r="B59" t="str">
        <x:v>Pet58</x:v>
      </x:c>
      <x:c r="C59" t="str">
        <x:v>Golden Pigeon</x:v>
      </x:c>
      <x:c r="D59" t="str">
        <x:v>Common</x:v>
      </x:c>
      <x:c r="E59" s="6" t="n">
        <x:f>ROUND($E$54*(1.05^(A59-$A$54)),2-INT(LOG10($E$54*(1.05^(A59-$A$54)))))</x:f>
        <x:v>1280</x:v>
      </x:c>
      <x:c r="F59" s="6" t="n">
        <x:f>ROUND(250*H59,2-INT(LOG10(250*H59)))</x:f>
        <x:v>750000000</x:v>
      </x:c>
      <x:c r="G59" s="6" t="str">
        <x:v>LegendaryFeedPlaceholder</x:v>
      </x:c>
      <x:c r="H59" s="6" t="n">
        <x:f>IF(G59="","",VLOOKUP(G59,'Feeds'!$A$2:$E$26,5,FALSE))</x:f>
        <x:v>3000000</x:v>
      </x:c>
      <x:c r="I59" s="8" t="n">
        <x:f>IF(OR(F59="",H59=""),"",ROUND(F59/H59,1))</x:f>
        <x:v>250</x:v>
      </x:c>
      <x:c r="J59" t="str">
        <x:v>Pet59</x:v>
      </x:c>
    </x:row>
    <x:row r="60" ht="15.75" customHeight="1">
      <x:c r="A60" t="n">
        <x:v>59</x:v>
      </x:c>
      <x:c r="B60" t="str">
        <x:v>Pet59</x:v>
      </x:c>
      <x:c r="C60" t="str">
        <x:v>Golden Parrot</x:v>
      </x:c>
      <x:c r="D60" t="str">
        <x:v>Common</x:v>
      </x:c>
      <x:c r="E60" s="6" t="n">
        <x:f>ROUND($E$54*(1.05^(A60-$A$54)),2-INT(LOG10($E$54*(1.05^(A60-$A$54)))))</x:f>
        <x:v>1340</x:v>
      </x:c>
      <x:c r="F60" s="6" t="n">
        <x:f>ROUND(250*((2000/250)^((A60-$A$59)/($A$107-$A$59)))*H60,2-INT(LOG10(250*((2000/250)^((A60-$A$59)/($A$107-$A$59)))*H60)))</x:f>
        <x:v>783000000</x:v>
      </x:c>
      <x:c r="G60" s="6" t="str">
        <x:v>LegendaryFeedPlaceholder</x:v>
      </x:c>
      <x:c r="H60" s="6" t="n">
        <x:f>IF(G60="","",VLOOKUP(G60,'Feeds'!$A$2:$E$26,5,FALSE))</x:f>
        <x:v>3000000</x:v>
      </x:c>
      <x:c r="I60" s="8" t="n">
        <x:f>IF(OR(F60="",H60=""),"",ROUND(F60/H60,1))</x:f>
        <x:v>261</x:v>
      </x:c>
      <x:c r="J60" t="str">
        <x:v>Pet60</x:v>
      </x:c>
    </x:row>
    <x:row r="61" ht="15.75" customHeight="1">
      <x:c r="A61" t="n">
        <x:v>60</x:v>
      </x:c>
      <x:c r="B61" t="str">
        <x:v>Pet60</x:v>
      </x:c>
      <x:c r="C61" t="str">
        <x:v>Golden Owl</x:v>
      </x:c>
      <x:c r="D61" t="str">
        <x:v>Common</x:v>
      </x:c>
      <x:c r="E61" s="6" t="n">
        <x:f>ROUND($E$54*(1.05^(A61-$A$54)),2-INT(LOG10($E$54*(1.05^(A61-$A$54)))))</x:f>
        <x:v>1410</x:v>
      </x:c>
      <x:c r="F61" s="6" t="n">
        <x:f>ROUND(250*((2000/250)^((A61-$A$59)/($A$107-$A$59)))*H61,2-INT(LOG10(250*((2000/250)^((A61-$A$59)/($A$107-$A$59)))*H61)))</x:f>
        <x:v>818000000</x:v>
      </x:c>
      <x:c r="G61" s="6" t="str">
        <x:v>LegendaryFeedPlaceholder</x:v>
      </x:c>
      <x:c r="H61" s="6" t="n">
        <x:f>IF(G61="","",VLOOKUP(G61,'Feeds'!$A$2:$E$26,5,FALSE))</x:f>
        <x:v>3000000</x:v>
      </x:c>
      <x:c r="I61" s="8" t="n">
        <x:f>IF(OR(F61="",H61=""),"",ROUND(F61/H61,1))</x:f>
        <x:v>272.7</x:v>
      </x:c>
      <x:c r="J61" t="str">
        <x:v>Pet61</x:v>
      </x:c>
    </x:row>
    <x:row r="62" ht="15.75" customHeight="1">
      <x:c r="A62" t="n">
        <x:v>61</x:v>
      </x:c>
      <x:c r="B62" t="str">
        <x:v>Pet61</x:v>
      </x:c>
      <x:c r="C62" t="str">
        <x:v>Golden Bat</x:v>
      </x:c>
      <x:c r="D62" t="str">
        <x:v>Common</x:v>
      </x:c>
      <x:c r="E62" s="6" t="n">
        <x:f>ROUND($E$54*(1.05^(A62-$A$54)),2-INT(LOG10($E$54*(1.05^(A62-$A$54)))))</x:f>
        <x:v>1480</x:v>
      </x:c>
      <x:c r="F62" s="6" t="n">
        <x:f>ROUND(250*((2000/250)^((A62-$A$59)/($A$107-$A$59)))*H62,2-INT(LOG10(250*((2000/250)^((A62-$A$59)/($A$107-$A$59)))*H62)))</x:f>
        <x:v>854000000</x:v>
      </x:c>
      <x:c r="G62" s="6" t="str">
        <x:v>LegendaryFeedPlaceholder</x:v>
      </x:c>
      <x:c r="H62" s="6" t="n">
        <x:f>IF(G62="","",VLOOKUP(G62,'Feeds'!$A$2:$E$26,5,FALSE))</x:f>
        <x:v>3000000</x:v>
      </x:c>
      <x:c r="I62" s="8" t="n">
        <x:f>IF(OR(F62="",H62=""),"",ROUND(F62/H62,1))</x:f>
        <x:v>284.7</x:v>
      </x:c>
      <x:c r="J62" t="str">
        <x:v>Pet62</x:v>
      </x:c>
    </x:row>
    <x:row r="63" ht="15.75" customHeight="1">
      <x:c r="A63" t="n">
        <x:v>62</x:v>
      </x:c>
      <x:c r="B63" t="str">
        <x:v>Pet62</x:v>
      </x:c>
      <x:c r="C63" t="str">
        <x:v>Golden Cat</x:v>
      </x:c>
      <x:c r="D63" t="str">
        <x:v>Common</x:v>
      </x:c>
      <x:c r="E63" s="6" t="n">
        <x:f>ROUND($E$54*(1.05^(A63-$A$54)),2-INT(LOG10($E$54*(1.05^(A63-$A$54)))))</x:f>
        <x:v>1550</x:v>
      </x:c>
      <x:c r="F63" s="6" t="n">
        <x:f>ROUND(250*((2000/250)^((A63-$A$59)/($A$107-$A$59)))*H63,2-INT(LOG10(250*((2000/250)^((A63-$A$59)/($A$107-$A$59)))*H63)))</x:f>
        <x:v>892000000</x:v>
      </x:c>
      <x:c r="G63" s="6" t="str">
        <x:v>LegendaryFeedPlaceholder</x:v>
      </x:c>
      <x:c r="H63" s="6" t="n">
        <x:f>IF(G63="","",VLOOKUP(G63,'Feeds'!$A$2:$E$26,5,FALSE))</x:f>
        <x:v>3000000</x:v>
      </x:c>
      <x:c r="I63" s="8" t="n">
        <x:f>IF(OR(F63="",H63=""),"",ROUND(F63/H63,1))</x:f>
        <x:v>297.3</x:v>
      </x:c>
      <x:c r="J63" t="str">
        <x:v>Pet63</x:v>
      </x:c>
    </x:row>
    <x:row r="64" ht="15.75" customHeight="1">
      <x:c r="A64" t="n">
        <x:v>63</x:v>
      </x:c>
      <x:c r="B64" t="str">
        <x:v>Pet63</x:v>
      </x:c>
      <x:c r="C64" t="str">
        <x:v>Golden Goat</x:v>
      </x:c>
      <x:c r="D64" t="str">
        <x:v>Common</x:v>
      </x:c>
      <x:c r="E64" s="6" t="n">
        <x:f>ROUND($E$54*(1.05^(A64-$A$54)),2-INT(LOG10($E$54*(1.05^(A64-$A$54)))))</x:f>
        <x:v>1630</x:v>
      </x:c>
      <x:c r="F64" s="6" t="n">
        <x:f>ROUND(250*((2000/250)^((A64-$A$59)/($A$107-$A$59)))*H64,2-INT(LOG10(250*((2000/250)^((A64-$A$59)/($A$107-$A$59)))*H64)))</x:f>
        <x:v>931000000</x:v>
      </x:c>
      <x:c r="G64" s="6" t="str">
        <x:v>LegendaryFeedPlaceholder</x:v>
      </x:c>
      <x:c r="H64" s="6" t="n">
        <x:f>IF(G64="","",VLOOKUP(G64,'Feeds'!$A$2:$E$26,5,FALSE))</x:f>
        <x:v>3000000</x:v>
      </x:c>
      <x:c r="I64" s="8" t="n">
        <x:f>IF(OR(F64="",H64=""),"",ROUND(F64/H64,1))</x:f>
        <x:v>310.3</x:v>
      </x:c>
      <x:c r="J64" t="str">
        <x:v>Pet64</x:v>
      </x:c>
    </x:row>
    <x:row r="65" ht="15.75" customHeight="1">
      <x:c r="A65" t="n">
        <x:v>64</x:v>
      </x:c>
      <x:c r="B65" t="str">
        <x:v>Pet64</x:v>
      </x:c>
      <x:c r="C65" t="str">
        <x:v>Golden Cow</x:v>
      </x:c>
      <x:c r="D65" t="str">
        <x:v>Rare</x:v>
      </x:c>
      <x:c r="E65" s="6" t="n">
        <x:f>ROUND($E$54*(1.05^(A65-$A$54)),2-INT(LOG10($E$54*(1.05^(A65-$A$54)))))</x:f>
        <x:v>1710</x:v>
      </x:c>
      <x:c r="F65" s="6" t="n">
        <x:f>ROUND(250*((2000/250)^((A65-$A$59)/($A$107-$A$59)))*H65,2-INT(LOG10(250*((2000/250)^((A65-$A$59)/($A$107-$A$59)))*H65)))</x:f>
        <x:v>973000000</x:v>
      </x:c>
      <x:c r="G65" s="6" t="str">
        <x:v>LegendaryFeedPlaceholder</x:v>
      </x:c>
      <x:c r="H65" s="6" t="n">
        <x:f>IF(G65="","",VLOOKUP(G65,'Feeds'!$A$2:$E$26,5,FALSE))</x:f>
        <x:v>3000000</x:v>
      </x:c>
      <x:c r="I65" s="8" t="n">
        <x:f>IF(OR(F65="",H65=""),"",ROUND(F65/H65,1))</x:f>
        <x:v>324.3</x:v>
      </x:c>
      <x:c r="J65" t="str">
        <x:v>Pet65</x:v>
      </x:c>
    </x:row>
    <x:row r="66" ht="15.75" customHeight="1">
      <x:c r="A66" t="n">
        <x:v>65</x:v>
      </x:c>
      <x:c r="B66" t="str">
        <x:v>Pet65</x:v>
      </x:c>
      <x:c r="C66" t="str">
        <x:v>Golden Bull</x:v>
      </x:c>
      <x:c r="D66" t="str">
        <x:v>Rare</x:v>
      </x:c>
      <x:c r="E66" s="6" t="n">
        <x:f>ROUND($E$54*(1.05^(A66-$A$54)),2-INT(LOG10($E$54*(1.05^(A66-$A$54)))))</x:f>
        <x:v>1800</x:v>
      </x:c>
      <x:c r="F66" s="6" t="n">
        <x:f>ROUND(250*((2000/250)^((A66-$A$59)/($A$107-$A$59)))*H66,2-INT(LOG10(250*((2000/250)^((A66-$A$59)/($A$107-$A$59)))*H66)))</x:f>
        <x:v>2540000000</x:v>
      </x:c>
      <x:c r="G66" s="6" t="str">
        <x:v>MythicalFeedPlaceholder1</x:v>
      </x:c>
      <x:c r="H66" s="6" t="n">
        <x:f>IF(G66="","",VLOOKUP(G66,'Feeds'!$A$2:$E$26,5,FALSE))</x:f>
        <x:v>7500000</x:v>
      </x:c>
      <x:c r="I66" s="8" t="n">
        <x:f>IF(OR(F66="",H66=""),"",ROUND(F66/H66,1))</x:f>
        <x:v>338.7</x:v>
      </x:c>
      <x:c r="J66" t="str">
        <x:v>Pet66</x:v>
      </x:c>
    </x:row>
    <x:row r="67" ht="15.75" customHeight="1">
      <x:c r="A67" t="n">
        <x:v>66</x:v>
      </x:c>
      <x:c r="B67" t="str">
        <x:v>Pet66</x:v>
      </x:c>
      <x:c r="C67" t="str">
        <x:v>Golden Pony</x:v>
      </x:c>
      <x:c r="D67" t="str">
        <x:v>Rare</x:v>
      </x:c>
      <x:c r="E67" s="6" t="n">
        <x:f>ROUND($E$54*(1.05^(A67-$A$54)),2-INT(LOG10($E$54*(1.05^(A67-$A$54)))))</x:f>
        <x:v>1890</x:v>
      </x:c>
      <x:c r="F67" s="6" t="n">
        <x:f>ROUND(250*((2000/250)^((A67-$A$59)/($A$107-$A$59)))*H67,2-INT(LOG10(250*((2000/250)^((A67-$A$59)/($A$107-$A$59)))*H67)))</x:f>
        <x:v>2650000000</x:v>
      </x:c>
      <x:c r="G67" s="6" t="str">
        <x:v>MythicalFeedPlaceholder1</x:v>
      </x:c>
      <x:c r="H67" s="6" t="n">
        <x:f>IF(G67="","",VLOOKUP(G67,'Feeds'!$A$2:$E$26,5,FALSE))</x:f>
        <x:v>7500000</x:v>
      </x:c>
      <x:c r="I67" s="8" t="n">
        <x:f>IF(OR(F67="",H67=""),"",ROUND(F67/H67,1))</x:f>
        <x:v>353.3</x:v>
      </x:c>
      <x:c r="J67" t="str">
        <x:v>Pet67</x:v>
      </x:c>
    </x:row>
    <x:row r="68" ht="15.75" customHeight="1">
      <x:c r="A68" t="n">
        <x:v>67</x:v>
      </x:c>
      <x:c r="B68" t="str">
        <x:v>Pet67</x:v>
      </x:c>
      <x:c r="C68" t="str">
        <x:v>Golden Horse</x:v>
      </x:c>
      <x:c r="D68" t="str">
        <x:v>Rare</x:v>
      </x:c>
      <x:c r="E68" s="6" t="n">
        <x:f>ROUND($E$54*(1.05^(A68-$A$54)),2-INT(LOG10($E$54*(1.05^(A68-$A$54)))))</x:f>
        <x:v>1980</x:v>
      </x:c>
      <x:c r="F68" s="6" t="n">
        <x:f>ROUND(250*((2000/250)^((A68-$A$59)/($A$107-$A$59)))*H68,2-INT(LOG10(250*((2000/250)^((A68-$A$59)/($A$107-$A$59)))*H68)))</x:f>
        <x:v>2770000000</x:v>
      </x:c>
      <x:c r="G68" s="6" t="str">
        <x:v>MythicalFeedPlaceholder1</x:v>
      </x:c>
      <x:c r="H68" s="6" t="n">
        <x:f>IF(G68="","",VLOOKUP(G68,'Feeds'!$A$2:$E$26,5,FALSE))</x:f>
        <x:v>7500000</x:v>
      </x:c>
      <x:c r="I68" s="8" t="n">
        <x:f>IF(OR(F68="",H68=""),"",ROUND(F68/H68,1))</x:f>
        <x:v>369.3</x:v>
      </x:c>
      <x:c r="J68" t="str">
        <x:v>Pet68</x:v>
      </x:c>
    </x:row>
    <x:row r="69" ht="15.75" customHeight="1">
      <x:c r="A69" t="n">
        <x:v>68</x:v>
      </x:c>
      <x:c r="B69" t="str">
        <x:v>Pet68</x:v>
      </x:c>
      <x:c r="C69" t="str">
        <x:v>Golden Retriever (Golden)</x:v>
      </x:c>
      <x:c r="D69" t="str">
        <x:v>Rare</x:v>
      </x:c>
      <x:c r="E69" s="6" t="n">
        <x:f>ROUND($E$54*(1.05^(A69-$A$54)),2-INT(LOG10($E$54*(1.05^(A69-$A$54)))))</x:f>
        <x:v>2080</x:v>
      </x:c>
      <x:c r="F69" s="6" t="n">
        <x:f>ROUND(250*((2000/250)^((A69-$A$59)/($A$107-$A$59)))*H69,2-INT(LOG10(250*((2000/250)^((A69-$A$59)/($A$107-$A$59)))*H69)))</x:f>
        <x:v>2890000000</x:v>
      </x:c>
      <x:c r="G69" s="6" t="str">
        <x:v>MythicalFeedPlaceholder1</x:v>
      </x:c>
      <x:c r="H69" s="6" t="n">
        <x:f>IF(G69="","",VLOOKUP(G69,'Feeds'!$A$2:$E$26,5,FALSE))</x:f>
        <x:v>7500000</x:v>
      </x:c>
      <x:c r="I69" s="8" t="n">
        <x:f>IF(OR(F69="",H69=""),"",ROUND(F69/H69,1))</x:f>
        <x:v>385.3</x:v>
      </x:c>
      <x:c r="J69" t="str">
        <x:v>Pet69</x:v>
      </x:c>
    </x:row>
    <x:row r="70" ht="15.75" customHeight="1">
      <x:c r="A70" t="n">
        <x:v>69</x:v>
      </x:c>
      <x:c r="B70" t="str">
        <x:v>Pet69</x:v>
      </x:c>
      <x:c r="C70" t="str">
        <x:v>Golden Llama</x:v>
      </x:c>
      <x:c r="D70" t="str">
        <x:v>Rare</x:v>
      </x:c>
      <x:c r="E70" s="6" t="n">
        <x:f>ROUND($E$54*(1.05^(A70-$A$54)),2-INT(LOG10($E$54*(1.05^(A70-$A$54)))))</x:f>
        <x:v>2180</x:v>
      </x:c>
      <x:c r="F70" s="6" t="n">
        <x:f>ROUND(250*((2000/250)^((A70-$A$59)/($A$107-$A$59)))*H70,2-INT(LOG10(250*((2000/250)^((A70-$A$59)/($A$107-$A$59)))*H70)))</x:f>
        <x:v>3020000000</x:v>
      </x:c>
      <x:c r="G70" s="6" t="str">
        <x:v>MythicalFeedPlaceholder1</x:v>
      </x:c>
      <x:c r="H70" s="6" t="n">
        <x:f>IF(G70="","",VLOOKUP(G70,'Feeds'!$A$2:$E$26,5,FALSE))</x:f>
        <x:v>7500000</x:v>
      </x:c>
      <x:c r="I70" s="8" t="n">
        <x:f>IF(OR(F70="",H70=""),"",ROUND(F70/H70,1))</x:f>
        <x:v>402.7</x:v>
      </x:c>
      <x:c r="J70" t="str">
        <x:v>Pet70</x:v>
      </x:c>
    </x:row>
    <x:row r="71" ht="15.75" customHeight="1">
      <x:c r="A71" t="n">
        <x:v>70</x:v>
      </x:c>
      <x:c r="B71" t="str">
        <x:v>Pet70</x:v>
      </x:c>
      <x:c r="C71" t="str">
        <x:v>Golden Capybara</x:v>
      </x:c>
      <x:c r="D71" t="str">
        <x:v>Rare</x:v>
      </x:c>
      <x:c r="E71" s="6" t="n">
        <x:f>ROUND($E$54*(1.05^(A71-$A$54)),2-INT(LOG10($E$54*(1.05^(A71-$A$54)))))</x:f>
        <x:v>2290</x:v>
      </x:c>
      <x:c r="F71" s="6" t="n">
        <x:f>ROUND(250*((2000/250)^((A71-$A$59)/($A$107-$A$59)))*H71,2-INT(LOG10(250*((2000/250)^((A71-$A$59)/($A$107-$A$59)))*H71)))</x:f>
        <x:v>3150000000</x:v>
      </x:c>
      <x:c r="G71" s="6" t="str">
        <x:v>MythicalFeedPlaceholder1</x:v>
      </x:c>
      <x:c r="H71" s="6" t="n">
        <x:f>IF(G71="","",VLOOKUP(G71,'Feeds'!$A$2:$E$26,5,FALSE))</x:f>
        <x:v>7500000</x:v>
      </x:c>
      <x:c r="I71" s="8" t="n">
        <x:f>IF(OR(F71="",H71=""),"",ROUND(F71/H71,1))</x:f>
        <x:v>420</x:v>
      </x:c>
      <x:c r="J71" t="str">
        <x:v>Pet71</x:v>
      </x:c>
    </x:row>
    <x:row r="72" ht="15.75" customHeight="1">
      <x:c r="A72" t="n">
        <x:v>71</x:v>
      </x:c>
      <x:c r="B72" t="str">
        <x:v>Pet71</x:v>
      </x:c>
      <x:c r="C72" t="str">
        <x:v>Golden Koala</x:v>
      </x:c>
      <x:c r="D72" t="str">
        <x:v>Rare</x:v>
      </x:c>
      <x:c r="E72" s="6" t="n">
        <x:f>ROUND($E$54*(1.05^(A72-$A$54)),2-INT(LOG10($E$54*(1.05^(A72-$A$54)))))</x:f>
        <x:v>2410</x:v>
      </x:c>
      <x:c r="F72" s="6" t="n">
        <x:f>ROUND(250*((2000/250)^((A72-$A$59)/($A$107-$A$59)))*H72,2-INT(LOG10(250*((2000/250)^((A72-$A$59)/($A$107-$A$59)))*H72)))</x:f>
        <x:v>3290000000</x:v>
      </x:c>
      <x:c r="G72" s="6" t="str">
        <x:v>MythicalFeedPlaceholder1</x:v>
      </x:c>
      <x:c r="H72" s="6" t="n">
        <x:f>IF(G72="","",VLOOKUP(G72,'Feeds'!$A$2:$E$26,5,FALSE))</x:f>
        <x:v>7500000</x:v>
      </x:c>
      <x:c r="I72" s="8" t="n">
        <x:f>IF(OR(F72="",H72=""),"",ROUND(F72/H72,1))</x:f>
        <x:v>438.7</x:v>
      </x:c>
      <x:c r="J72" t="str">
        <x:v>Pet72</x:v>
      </x:c>
    </x:row>
    <x:row r="73" ht="15.75" customHeight="1">
      <x:c r="A73" t="n">
        <x:v>72</x:v>
      </x:c>
      <x:c r="B73" t="str">
        <x:v>Pet72</x:v>
      </x:c>
      <x:c r="C73" t="str">
        <x:v>Golden Turtle</x:v>
      </x:c>
      <x:c r="D73" t="str">
        <x:v>Rare</x:v>
      </x:c>
      <x:c r="E73" s="6" t="n">
        <x:f>ROUND($E$54*(1.05^(A73-$A$54)),2-INT(LOG10($E$54*(1.05^(A73-$A$54)))))</x:f>
        <x:v>2530</x:v>
      </x:c>
      <x:c r="F73" s="6" t="n">
        <x:f>ROUND(250*((2000/250)^((A73-$A$59)/($A$107-$A$59)))*H73,2-INT(LOG10(250*((2000/250)^((A73-$A$59)/($A$107-$A$59)))*H73)))</x:f>
        <x:v>3440000000</x:v>
      </x:c>
      <x:c r="G73" s="6" t="str">
        <x:v>MythicalFeedPlaceholder1</x:v>
      </x:c>
      <x:c r="H73" s="6" t="n">
        <x:f>IF(G73="","",VLOOKUP(G73,'Feeds'!$A$2:$E$26,5,FALSE))</x:f>
        <x:v>7500000</x:v>
      </x:c>
      <x:c r="I73" s="8" t="n">
        <x:f>IF(OR(F73="",H73=""),"",ROUND(F73/H73,1))</x:f>
        <x:v>458.7</x:v>
      </x:c>
      <x:c r="J73" t="str">
        <x:v>Pet73</x:v>
      </x:c>
    </x:row>
    <x:row r="74" ht="15.75" customHeight="1">
      <x:c r="A74" t="n">
        <x:v>73</x:v>
      </x:c>
      <x:c r="B74" t="str">
        <x:v>Pet73</x:v>
      </x:c>
      <x:c r="C74" t="str">
        <x:v>Golden Lizard</x:v>
      </x:c>
      <x:c r="D74" t="str">
        <x:v>Rare</x:v>
      </x:c>
      <x:c r="E74" s="6" t="n">
        <x:f>ROUND($E$54*(1.05^(A74-$A$54)),2-INT(LOG10($E$54*(1.05^(A74-$A$54)))))</x:f>
        <x:v>2650</x:v>
      </x:c>
      <x:c r="F74" s="6" t="n">
        <x:f>ROUND(250*((2000/250)^((A74-$A$59)/($A$107-$A$59)))*H74,2-INT(LOG10(250*((2000/250)^((A74-$A$59)/($A$107-$A$59)))*H74)))</x:f>
        <x:v>3590000000</x:v>
      </x:c>
      <x:c r="G74" s="6" t="str">
        <x:v>MythicalFeedPlaceholder1</x:v>
      </x:c>
      <x:c r="H74" s="6" t="n">
        <x:f>IF(G74="","",VLOOKUP(G74,'Feeds'!$A$2:$E$26,5,FALSE))</x:f>
        <x:v>7500000</x:v>
      </x:c>
      <x:c r="I74" s="8" t="n">
        <x:f>IF(OR(F74="",H74=""),"",ROUND(F74/H74,1))</x:f>
        <x:v>478.7</x:v>
      </x:c>
      <x:c r="J74" t="str">
        <x:v>Pet74</x:v>
      </x:c>
    </x:row>
    <x:row r="75" ht="15.75" customHeight="1">
      <x:c r="A75" t="n">
        <x:v>74</x:v>
      </x:c>
      <x:c r="B75" t="str">
        <x:v>Pet74</x:v>
      </x:c>
      <x:c r="C75" t="str">
        <x:v>Golden Snail</x:v>
      </x:c>
      <x:c r="D75" t="str">
        <x:v>Epic</x:v>
      </x:c>
      <x:c r="E75" s="6" t="n">
        <x:f>ROUND($E$54*(1.05^(A75-$A$54)),2-INT(LOG10($E$54*(1.05^(A75-$A$54)))))</x:f>
        <x:v>2790</x:v>
      </x:c>
      <x:c r="F75" s="6" t="n">
        <x:f>ROUND(250*((2000/250)^((A75-$A$59)/($A$107-$A$59)))*H75,2-INT(LOG10(250*((2000/250)^((A75-$A$59)/($A$107-$A$59)))*H75)))</x:f>
        <x:v>3750000000</x:v>
      </x:c>
      <x:c r="G75" s="6" t="str">
        <x:v>MythicalFeedPlaceholder1</x:v>
      </x:c>
      <x:c r="H75" s="6" t="n">
        <x:f>IF(G75="","",VLOOKUP(G75,'Feeds'!$A$2:$E$26,5,FALSE))</x:f>
        <x:v>7500000</x:v>
      </x:c>
      <x:c r="I75" s="8" t="n">
        <x:f>IF(OR(F75="",H75=""),"",ROUND(F75/H75,1))</x:f>
        <x:v>500</x:v>
      </x:c>
      <x:c r="J75" t="str">
        <x:v>Pet75</x:v>
      </x:c>
    </x:row>
    <x:row r="76" ht="15.75" customHeight="1">
      <x:c r="A76" t="n">
        <x:v>75</x:v>
      </x:c>
      <x:c r="B76" t="str">
        <x:v>Pet75</x:v>
      </x:c>
      <x:c r="C76" t="str">
        <x:v>Golden Crab</x:v>
      </x:c>
      <x:c r="D76" t="str">
        <x:v>Epic</x:v>
      </x:c>
      <x:c r="E76" s="6" t="n">
        <x:f>ROUND($E$54*(1.05^(A76-$A$54)),2-INT(LOG10($E$54*(1.05^(A76-$A$54)))))</x:f>
        <x:v>2930</x:v>
      </x:c>
      <x:c r="F76" s="6" t="n">
        <x:f>ROUND(250*((2000/250)^((A76-$A$59)/($A$107-$A$59)))*H76,2-INT(LOG10(250*((2000/250)^((A76-$A$59)/($A$107-$A$59)))*H76)))</x:f>
        <x:v>9400000000</x:v>
      </x:c>
      <x:c r="G76" s="6" t="str">
        <x:v>MythicalFeedPlaceholder2</x:v>
      </x:c>
      <x:c r="H76" s="6" t="n">
        <x:f>IF(G76="","",VLOOKUP(G76,'Feeds'!$A$2:$E$26,5,FALSE))</x:f>
        <x:v>18000000</x:v>
      </x:c>
      <x:c r="I76" s="8" t="n">
        <x:f>IF(OR(F76="",H76=""),"",ROUND(F76/H76,1))</x:f>
        <x:v>522.2</x:v>
      </x:c>
      <x:c r="J76" t="str">
        <x:v>Pet76</x:v>
      </x:c>
    </x:row>
    <x:row r="77" ht="15.75" customHeight="1">
      <x:c r="A77" t="n">
        <x:v>76</x:v>
      </x:c>
      <x:c r="B77" t="str">
        <x:v>Pet76</x:v>
      </x:c>
      <x:c r="C77" t="str">
        <x:v>Golden Goldfish</x:v>
      </x:c>
      <x:c r="D77" t="str">
        <x:v>Epic</x:v>
      </x:c>
      <x:c r="E77" s="6" t="n">
        <x:f>ROUND($E$54*(1.05^(A77-$A$54)),2-INT(LOG10($E$54*(1.05^(A77-$A$54)))))</x:f>
        <x:v>3070</x:v>
      </x:c>
      <x:c r="F77" s="6" t="n">
        <x:f>ROUND(250*((2000/250)^((A77-$A$59)/($A$107-$A$59)))*H77,2-INT(LOG10(250*((2000/250)^((A77-$A$59)/($A$107-$A$59)))*H77)))</x:f>
        <x:v>9810000000</x:v>
      </x:c>
      <x:c r="G77" s="6" t="str">
        <x:v>MythicalFeedPlaceholder2</x:v>
      </x:c>
      <x:c r="H77" s="6" t="n">
        <x:f>IF(G77="","",VLOOKUP(G77,'Feeds'!$A$2:$E$26,5,FALSE))</x:f>
        <x:v>18000000</x:v>
      </x:c>
      <x:c r="I77" s="8" t="n">
        <x:f>IF(OR(F77="",H77=""),"",ROUND(F77/H77,1))</x:f>
        <x:v>545</x:v>
      </x:c>
      <x:c r="J77" t="str">
        <x:v>Pet77</x:v>
      </x:c>
    </x:row>
    <x:row r="78" ht="15.75" customHeight="1">
      <x:c r="A78" t="n">
        <x:v>77</x:v>
      </x:c>
      <x:c r="B78" t="str">
        <x:v>Pet77</x:v>
      </x:c>
      <x:c r="C78" t="str">
        <x:v>Golden Seal</x:v>
      </x:c>
      <x:c r="D78" t="str">
        <x:v>Epic</x:v>
      </x:c>
      <x:c r="E78" s="6" t="n">
        <x:f>ROUND($E$54*(1.05^(A78-$A$54)),2-INT(LOG10($E$54*(1.05^(A78-$A$54)))))</x:f>
        <x:v>3230</x:v>
      </x:c>
      <x:c r="F78" s="6" t="n">
        <x:f>ROUND(250*((2000/250)^((A78-$A$59)/($A$107-$A$59)))*H78,2-INT(LOG10(250*((2000/250)^((A78-$A$59)/($A$107-$A$59)))*H78)))</x:f>
        <x:v>10200000000</x:v>
      </x:c>
      <x:c r="G78" s="6" t="str">
        <x:v>MythicalFeedPlaceholder2</x:v>
      </x:c>
      <x:c r="H78" s="6" t="n">
        <x:f>IF(G78="","",VLOOKUP(G78,'Feeds'!$A$2:$E$26,5,FALSE))</x:f>
        <x:v>18000000</x:v>
      </x:c>
      <x:c r="I78" s="8" t="n">
        <x:f>IF(OR(F78="",H78=""),"",ROUND(F78/H78,1))</x:f>
        <x:v>566.7</x:v>
      </x:c>
      <x:c r="J78" t="str">
        <x:v>Pet78</x:v>
      </x:c>
    </x:row>
    <x:row r="79" ht="15.75" customHeight="1">
      <x:c r="A79" t="n">
        <x:v>78</x:v>
      </x:c>
      <x:c r="B79" t="str">
        <x:v>Pet78</x:v>
      </x:c>
      <x:c r="C79" t="str">
        <x:v>Golden Swordfish</x:v>
      </x:c>
      <x:c r="D79" t="str">
        <x:v>Epic</x:v>
      </x:c>
      <x:c r="E79" s="6" t="n">
        <x:f>ROUND($E$54*(1.05^(A79-$A$54)),2-INT(LOG10($E$54*(1.05^(A79-$A$54)))))</x:f>
        <x:v>3390</x:v>
      </x:c>
      <x:c r="F79" s="6" t="n">
        <x:f>ROUND(250*((2000/250)^((A79-$A$59)/($A$107-$A$59)))*H79,2-INT(LOG10(250*((2000/250)^((A79-$A$59)/($A$107-$A$59)))*H79)))</x:f>
        <x:v>10700000000</x:v>
      </x:c>
      <x:c r="G79" s="6" t="str">
        <x:v>MythicalFeedPlaceholder2</x:v>
      </x:c>
      <x:c r="H79" s="6" t="n">
        <x:f>IF(G79="","",VLOOKUP(G79,'Feeds'!$A$2:$E$26,5,FALSE))</x:f>
        <x:v>18000000</x:v>
      </x:c>
      <x:c r="I79" s="8" t="n">
        <x:f>IF(OR(F79="",H79=""),"",ROUND(F79/H79,1))</x:f>
        <x:v>594.4</x:v>
      </x:c>
      <x:c r="J79" t="str">
        <x:v>Pet79</x:v>
      </x:c>
    </x:row>
    <x:row r="80" ht="15.75" customHeight="1">
      <x:c r="A80" t="n">
        <x:v>79</x:v>
      </x:c>
      <x:c r="B80" t="str">
        <x:v>Pet79</x:v>
      </x:c>
      <x:c r="C80" t="str">
        <x:v>Golden Whale</x:v>
      </x:c>
      <x:c r="D80" t="str">
        <x:v>Epic</x:v>
      </x:c>
      <x:c r="E80" s="6" t="n">
        <x:f>ROUND($E$54*(1.05^(A80-$A$54)),2-INT(LOG10($E$54*(1.05^(A80-$A$54)))))</x:f>
        <x:v>3560</x:v>
      </x:c>
      <x:c r="F80" s="6" t="n">
        <x:f>ROUND(250*((2000/250)^((A80-$A$59)/($A$107-$A$59)))*H80,2-INT(LOG10(250*((2000/250)^((A80-$A$59)/($A$107-$A$59)))*H80)))</x:f>
        <x:v>11200000000</x:v>
      </x:c>
      <x:c r="G80" s="6" t="str">
        <x:v>MythicalFeedPlaceholder2</x:v>
      </x:c>
      <x:c r="H80" s="6" t="n">
        <x:f>IF(G80="","",VLOOKUP(G80,'Feeds'!$A$2:$E$26,5,FALSE))</x:f>
        <x:v>18000000</x:v>
      </x:c>
      <x:c r="I80" s="8" t="n">
        <x:f>IF(OR(F80="",H80=""),"",ROUND(F80/H80,1))</x:f>
        <x:v>622.2</x:v>
      </x:c>
      <x:c r="J80" t="str">
        <x:v>Pet80</x:v>
      </x:c>
    </x:row>
    <x:row r="81" ht="15.75" customHeight="1">
      <x:c r="A81" t="n">
        <x:v>80</x:v>
      </x:c>
      <x:c r="B81" t="str">
        <x:v>Pet80</x:v>
      </x:c>
      <x:c r="C81" t="str">
        <x:v>Golden Shark</x:v>
      </x:c>
      <x:c r="D81" t="str">
        <x:v>Epic</x:v>
      </x:c>
      <x:c r="E81" s="6" t="n">
        <x:f>ROUND($E$54*(1.05^(A81-$A$54)),2-INT(LOG10($E$54*(1.05^(A81-$A$54)))))</x:f>
        <x:v>3730</x:v>
      </x:c>
      <x:c r="F81" s="6" t="n">
        <x:f>ROUND(250*((2000/250)^((A81-$A$59)/($A$107-$A$59)))*H81,2-INT(LOG10(250*((2000/250)^((A81-$A$59)/($A$107-$A$59)))*H81)))</x:f>
        <x:v>11700000000</x:v>
      </x:c>
      <x:c r="G81" s="6" t="str">
        <x:v>MythicalFeedPlaceholder2</x:v>
      </x:c>
      <x:c r="H81" s="6" t="n">
        <x:f>IF(G81="","",VLOOKUP(G81,'Feeds'!$A$2:$E$26,5,FALSE))</x:f>
        <x:v>18000000</x:v>
      </x:c>
      <x:c r="I81" s="8" t="n">
        <x:f>IF(OR(F81="",H81=""),"",ROUND(F81/H81,1))</x:f>
        <x:v>650</x:v>
      </x:c>
      <x:c r="J81" t="str">
        <x:v>Pet81</x:v>
      </x:c>
    </x:row>
    <x:row r="82" ht="15.75" customHeight="1">
      <x:c r="A82" t="n">
        <x:v>81</x:v>
      </x:c>
      <x:c r="B82" t="str">
        <x:v>Pet81</x:v>
      </x:c>
      <x:c r="C82" t="str">
        <x:v>Golden Ostrich</x:v>
      </x:c>
      <x:c r="D82" t="str">
        <x:v>Epic</x:v>
      </x:c>
      <x:c r="E82" s="6" t="n">
        <x:f>ROUND($E$54*(1.05^(A82-$A$54)),2-INT(LOG10($E$54*(1.05^(A82-$A$54)))))</x:f>
        <x:v>3920</x:v>
      </x:c>
      <x:c r="F82" s="6" t="n">
        <x:f>ROUND(250*((2000/250)^((A82-$A$59)/($A$107-$A$59)))*H82,2-INT(LOG10(250*((2000/250)^((A82-$A$59)/($A$107-$A$59)))*H82)))</x:f>
        <x:v>12200000000</x:v>
      </x:c>
      <x:c r="G82" s="6" t="str">
        <x:v>MythicalFeedPlaceholder2</x:v>
      </x:c>
      <x:c r="H82" s="6" t="n">
        <x:f>IF(G82="","",VLOOKUP(G82,'Feeds'!$A$2:$E$26,5,FALSE))</x:f>
        <x:v>18000000</x:v>
      </x:c>
      <x:c r="I82" s="8" t="n">
        <x:f>IF(OR(F82="",H82=""),"",ROUND(F82/H82,1))</x:f>
        <x:v>677.8</x:v>
      </x:c>
      <x:c r="J82" t="str">
        <x:v>Pet82</x:v>
      </x:c>
    </x:row>
    <x:row r="83" ht="15.75" customHeight="1">
      <x:c r="A83" t="n">
        <x:v>82</x:v>
      </x:c>
      <x:c r="B83" t="str">
        <x:v>Pet82</x:v>
      </x:c>
      <x:c r="C83" t="str">
        <x:v>Golden Kangaroo</x:v>
      </x:c>
      <x:c r="D83" t="str">
        <x:v>Epic</x:v>
      </x:c>
      <x:c r="E83" s="6" t="n">
        <x:f>ROUND($E$54*(1.05^(A83-$A$54)),2-INT(LOG10($E$54*(1.05^(A83-$A$54)))))</x:f>
        <x:v>4120</x:v>
      </x:c>
      <x:c r="F83" s="6" t="n">
        <x:f>ROUND(250*((2000/250)^((A83-$A$59)/($A$107-$A$59)))*H83,2-INT(LOG10(250*((2000/250)^((A83-$A$59)/($A$107-$A$59)))*H83)))</x:f>
        <x:v>12700000000</x:v>
      </x:c>
      <x:c r="G83" s="6" t="str">
        <x:v>MythicalFeedPlaceholder2</x:v>
      </x:c>
      <x:c r="H83" s="6" t="n">
        <x:f>IF(G83="","",VLOOKUP(G83,'Feeds'!$A$2:$E$26,5,FALSE))</x:f>
        <x:v>18000000</x:v>
      </x:c>
      <x:c r="I83" s="8" t="n">
        <x:f>IF(OR(F83="",H83=""),"",ROUND(F83/H83,1))</x:f>
        <x:v>705.6</x:v>
      </x:c>
      <x:c r="J83" t="str">
        <x:v>Pet83</x:v>
      </x:c>
    </x:row>
    <x:row r="84" ht="15.75" customHeight="1">
      <x:c r="A84" t="n">
        <x:v>83</x:v>
      </x:c>
      <x:c r="B84" t="str">
        <x:v>Pet83</x:v>
      </x:c>
      <x:c r="C84" t="str">
        <x:v>Golden Zebra</x:v>
      </x:c>
      <x:c r="D84" t="str">
        <x:v>Epic</x:v>
      </x:c>
      <x:c r="E84" s="6" t="n">
        <x:f>ROUND($E$54*(1.05^(A84-$A$54)),2-INT(LOG10($E$54*(1.05^(A84-$A$54)))))</x:f>
        <x:v>4320</x:v>
      </x:c>
      <x:c r="F84" s="6" t="n">
        <x:f>ROUND(250*((2000/250)^((A84-$A$59)/($A$107-$A$59)))*H84,2-INT(LOG10(250*((2000/250)^((A84-$A$59)/($A$107-$A$59)))*H84)))</x:f>
        <x:v>13300000000</x:v>
      </x:c>
      <x:c r="G84" s="6" t="str">
        <x:v>MythicalFeedPlaceholder2</x:v>
      </x:c>
      <x:c r="H84" s="6" t="n">
        <x:f>IF(G84="","",VLOOKUP(G84,'Feeds'!$A$2:$E$26,5,FALSE))</x:f>
        <x:v>18000000</x:v>
      </x:c>
      <x:c r="I84" s="8" t="n">
        <x:f>IF(OR(F84="",H84=""),"",ROUND(F84/H84,1))</x:f>
        <x:v>738.9</x:v>
      </x:c>
      <x:c r="J84" t="str">
        <x:v>Pet84</x:v>
      </x:c>
    </x:row>
    <x:row r="85" ht="15.75" customHeight="1">
      <x:c r="A85" t="n">
        <x:v>84</x:v>
      </x:c>
      <x:c r="B85" t="str">
        <x:v>Pet84</x:v>
      </x:c>
      <x:c r="C85" t="str">
        <x:v>Golden Giraffee</x:v>
      </x:c>
      <x:c r="D85" t="str">
        <x:v>Epic</x:v>
      </x:c>
      <x:c r="E85" s="6" t="n">
        <x:f>ROUND($E$54*(1.05^(A85-$A$54)),2-INT(LOG10($E$54*(1.05^(A85-$A$54)))))</x:f>
        <x:v>4540</x:v>
      </x:c>
      <x:c r="F85" s="6" t="n">
        <x:f>ROUND(250*((2000/250)^((A85-$A$59)/($A$107-$A$59)))*H85,2-INT(LOG10(250*((2000/250)^((A85-$A$59)/($A$107-$A$59)))*H85)))</x:f>
        <x:v>13900000000</x:v>
      </x:c>
      <x:c r="G85" s="6" t="str">
        <x:v>MythicalFeedPlaceholder2</x:v>
      </x:c>
      <x:c r="H85" s="6" t="n">
        <x:f>IF(G85="","",VLOOKUP(G85,'Feeds'!$A$2:$E$26,5,FALSE))</x:f>
        <x:v>18000000</x:v>
      </x:c>
      <x:c r="I85" s="8" t="n">
        <x:f>IF(OR(F85="",H85=""),"",ROUND(F85/H85,1))</x:f>
        <x:v>772.2</x:v>
      </x:c>
      <x:c r="J85" t="str">
        <x:v>Pet85</x:v>
      </x:c>
    </x:row>
    <x:row r="86" ht="15.75" customHeight="1">
      <x:c r="A86" t="n">
        <x:v>85</x:v>
      </x:c>
      <x:c r="B86" t="str">
        <x:v>Pet85</x:v>
      </x:c>
      <x:c r="C86" t="str">
        <x:v>Golden Elephant</x:v>
      </x:c>
      <x:c r="D86" t="str">
        <x:v>Epic</x:v>
      </x:c>
      <x:c r="E86" s="6" t="n">
        <x:f>ROUND($E$54*(1.05^(A86-$A$54)),2-INT(LOG10($E$54*(1.05^(A86-$A$54)))))</x:f>
        <x:v>4760</x:v>
      </x:c>
      <x:c r="F86" s="6" t="n">
        <x:f>ROUND(250*((2000/250)^((A86-$A$59)/($A$107-$A$59)))*H86,2-INT(LOG10(250*((2000/250)^((A86-$A$59)/($A$107-$A$59)))*H86)))</x:f>
        <x:v>14500000000</x:v>
      </x:c>
      <x:c r="G86" s="6" t="str">
        <x:v>MythicalFeedPlaceholder2</x:v>
      </x:c>
      <x:c r="H86" s="6" t="n">
        <x:f>IF(G86="","",VLOOKUP(G86,'Feeds'!$A$2:$E$26,5,FALSE))</x:f>
        <x:v>18000000</x:v>
      </x:c>
      <x:c r="I86" s="8" t="n">
        <x:f>IF(OR(F86="",H86=""),"",ROUND(F86/H86,1))</x:f>
        <x:v>805.6</x:v>
      </x:c>
      <x:c r="J86" t="str">
        <x:v>Pet86</x:v>
      </x:c>
    </x:row>
    <x:row r="87" ht="15.75" customHeight="1">
      <x:c r="A87" t="n">
        <x:v>86</x:v>
      </x:c>
      <x:c r="B87" t="str">
        <x:v>Pet86</x:v>
      </x:c>
      <x:c r="C87" t="str">
        <x:v>Golden Bear</x:v>
      </x:c>
      <x:c r="D87" t="str">
        <x:v>Epic</x:v>
      </x:c>
      <x:c r="E87" s="6" t="n">
        <x:f>ROUND($E$54*(1.05^(A87-$A$54)),2-INT(LOG10($E$54*(1.05^(A87-$A$54)))))</x:f>
        <x:v>5000</x:v>
      </x:c>
      <x:c r="F87" s="6" t="n">
        <x:f>ROUND(250*((2000/250)^((A87-$A$59)/($A$107-$A$59)))*H87,2-INT(LOG10(250*((2000/250)^((A87-$A$59)/($A$107-$A$59)))*H87)))</x:f>
        <x:v>37800000000</x:v>
      </x:c>
      <x:c r="G87" s="6" t="str">
        <x:v>SecretFeedPlaceholder1</x:v>
      </x:c>
      <x:c r="H87" s="6" t="n">
        <x:f>IF(G87="","",VLOOKUP(G87,'Feeds'!$A$2:$E$26,5,FALSE))</x:f>
        <x:v>45000000</x:v>
      </x:c>
      <x:c r="I87" s="8" t="n">
        <x:f>IF(OR(F87="",H87=""),"",ROUND(F87/H87,1))</x:f>
        <x:v>840</x:v>
      </x:c>
      <x:c r="J87" t="str">
        <x:v>Pet87</x:v>
      </x:c>
    </x:row>
    <x:row r="88" ht="15.75" customHeight="1">
      <x:c r="A88" t="n">
        <x:v>87</x:v>
      </x:c>
      <x:c r="B88" t="str">
        <x:v>Pet87</x:v>
      </x:c>
      <x:c r="C88" t="str">
        <x:v>Golden Polar Bear</x:v>
      </x:c>
      <x:c r="D88" t="str">
        <x:v>Epic</x:v>
      </x:c>
      <x:c r="E88" s="6" t="n">
        <x:f>ROUND($E$54*(1.05^(A88-$A$54)),2-INT(LOG10($E$54*(1.05^(A88-$A$54)))))</x:f>
        <x:v>5250</x:v>
      </x:c>
      <x:c r="F88" s="6" t="n">
        <x:f>ROUND(250*((2000/250)^((A88-$A$59)/($A$107-$A$59)))*H88,2-INT(LOG10(250*((2000/250)^((A88-$A$59)/($A$107-$A$59)))*H88)))</x:f>
        <x:v>39500000000</x:v>
      </x:c>
      <x:c r="G88" s="6" t="str">
        <x:v>SecretFeedPlaceholder1</x:v>
      </x:c>
      <x:c r="H88" s="6" t="n">
        <x:f>IF(G88="","",VLOOKUP(G88,'Feeds'!$A$2:$E$26,5,FALSE))</x:f>
        <x:v>45000000</x:v>
      </x:c>
      <x:c r="I88" s="8" t="n">
        <x:f>IF(OR(F88="",H88=""),"",ROUND(F88/H88,1))</x:f>
        <x:v>877.8</x:v>
      </x:c>
      <x:c r="J88" t="str">
        <x:v>Pet88</x:v>
      </x:c>
    </x:row>
    <x:row r="89" ht="15.75" customHeight="1">
      <x:c r="A89" t="n">
        <x:v>88</x:v>
      </x:c>
      <x:c r="B89" t="str">
        <x:v>Pet88</x:v>
      </x:c>
      <x:c r="C89" t="str">
        <x:v>Golden Gorilla</x:v>
      </x:c>
      <x:c r="D89" t="str">
        <x:v>Epic</x:v>
      </x:c>
      <x:c r="E89" s="6" t="n">
        <x:f>ROUND($E$54*(1.05^(A89-$A$54)),2-INT(LOG10($E$54*(1.05^(A89-$A$54)))))</x:f>
        <x:v>5520</x:v>
      </x:c>
      <x:c r="F89" s="6" t="n">
        <x:f>ROUND(250*((2000/250)^((A89-$A$59)/($A$107-$A$59)))*H89,2-INT(LOG10(250*((2000/250)^((A89-$A$59)/($A$107-$A$59)))*H89)))</x:f>
        <x:v>41300000000</x:v>
      </x:c>
      <x:c r="G89" s="6" t="str">
        <x:v>SecretFeedPlaceholder1</x:v>
      </x:c>
      <x:c r="H89" s="6" t="n">
        <x:f>IF(G89="","",VLOOKUP(G89,'Feeds'!$A$2:$E$26,5,FALSE))</x:f>
        <x:v>45000000</x:v>
      </x:c>
      <x:c r="I89" s="8" t="n">
        <x:f>IF(OR(F89="",H89=""),"",ROUND(F89/H89,1))</x:f>
        <x:v>917.8</x:v>
      </x:c>
      <x:c r="J89" t="str">
        <x:v>Pet89</x:v>
      </x:c>
    </x:row>
    <x:row r="90" ht="15.75" customHeight="1">
      <x:c r="A90" t="n">
        <x:v>89</x:v>
      </x:c>
      <x:c r="B90" t="str">
        <x:v>Pet89</x:v>
      </x:c>
      <x:c r="C90" t="str">
        <x:v>Golden Wolf</x:v>
      </x:c>
      <x:c r="D90" t="str">
        <x:v>Epic</x:v>
      </x:c>
      <x:c r="E90" s="6" t="n">
        <x:f>ROUND($E$54*(1.05^(A90-$A$54)),2-INT(LOG10($E$54*(1.05^(A90-$A$54)))))</x:f>
        <x:v>5790</x:v>
      </x:c>
      <x:c r="F90" s="6" t="n">
        <x:f>ROUND(250*((2000/250)^((A90-$A$59)/($A$107-$A$59)))*H90,2-INT(LOG10(250*((2000/250)^((A90-$A$59)/($A$107-$A$59)))*H90)))</x:f>
        <x:v>43100000000</x:v>
      </x:c>
      <x:c r="G90" s="6" t="str">
        <x:v>SecretFeedPlaceholder1</x:v>
      </x:c>
      <x:c r="H90" s="6" t="n">
        <x:f>IF(G90="","",VLOOKUP(G90,'Feeds'!$A$2:$E$26,5,FALSE))</x:f>
        <x:v>45000000</x:v>
      </x:c>
      <x:c r="I90" s="8" t="n">
        <x:f>IF(OR(F90="",H90=""),"",ROUND(F90/H90,1))</x:f>
        <x:v>957.8</x:v>
      </x:c>
      <x:c r="J90" t="str">
        <x:v>Pet90</x:v>
      </x:c>
    </x:row>
    <x:row r="91" ht="15.75" customHeight="1">
      <x:c r="A91" t="n">
        <x:v>90</x:v>
      </x:c>
      <x:c r="B91" t="str">
        <x:v>Pet90</x:v>
      </x:c>
      <x:c r="C91" t="str">
        <x:v>Golden Lion</x:v>
      </x:c>
      <x:c r="D91" t="str">
        <x:v>Legendary</x:v>
      </x:c>
      <x:c r="E91" s="6" t="n">
        <x:f>ROUND($E$54*(1.05^(A91-$A$54)),2-INT(LOG10($E$54*(1.05^(A91-$A$54)))))</x:f>
        <x:v>6080</x:v>
      </x:c>
      <x:c r="F91" s="6" t="n">
        <x:f>ROUND(250*((2000/250)^((A91-$A$59)/($A$107-$A$59)))*H91,2-INT(LOG10(250*((2000/250)^((A91-$A$59)/($A$107-$A$59)))*H91)))</x:f>
        <x:v>45000000000</x:v>
      </x:c>
      <x:c r="G91" s="6" t="str">
        <x:v>SecretFeedPlaceholder1</x:v>
      </x:c>
      <x:c r="H91" s="6" t="n">
        <x:f>IF(G91="","",VLOOKUP(G91,'Feeds'!$A$2:$E$26,5,FALSE))</x:f>
        <x:v>45000000</x:v>
      </x:c>
      <x:c r="I91" s="8" t="n">
        <x:f>IF(OR(F91="",H91=""),"",ROUND(F91/H91,1))</x:f>
        <x:v>1000</x:v>
      </x:c>
      <x:c r="J91" t="str">
        <x:v>Pet91</x:v>
      </x:c>
    </x:row>
    <x:row r="92" ht="15.75" customHeight="1">
      <x:c r="A92" t="n">
        <x:v>91</x:v>
      </x:c>
      <x:c r="B92" t="str">
        <x:v>Pet91</x:v>
      </x:c>
      <x:c r="C92" t="str">
        <x:v>Golden Tiger</x:v>
      </x:c>
      <x:c r="D92" t="str">
        <x:v>Legendary</x:v>
      </x:c>
      <x:c r="E92" s="6" t="n">
        <x:f>ROUND($E$54*(1.05^(A92-$A$54)),2-INT(LOG10($E$54*(1.05^(A92-$A$54)))))</x:f>
        <x:v>6390</x:v>
      </x:c>
      <x:c r="F92" s="6" t="n">
        <x:f>ROUND(250*((2000/250)^((A92-$A$59)/($A$107-$A$59)))*H92,2-INT(LOG10(250*((2000/250)^((A92-$A$59)/($A$107-$A$59)))*H92)))</x:f>
        <x:v>47000000000</x:v>
      </x:c>
      <x:c r="G92" s="6" t="str">
        <x:v>SecretFeedPlaceholder1</x:v>
      </x:c>
      <x:c r="H92" s="6" t="n">
        <x:f>IF(G92="","",VLOOKUP(G92,'Feeds'!$A$2:$E$26,5,FALSE))</x:f>
        <x:v>45000000</x:v>
      </x:c>
      <x:c r="I92" s="8" t="n">
        <x:f>IF(OR(F92="",H92=""),"",ROUND(F92/H92,1))</x:f>
        <x:v>1044.4</x:v>
      </x:c>
      <x:c r="J92" t="str">
        <x:v>Pet92</x:v>
      </x:c>
    </x:row>
    <x:row r="93" ht="15.75" customHeight="1">
      <x:c r="A93" t="n">
        <x:v>92</x:v>
      </x:c>
      <x:c r="B93" t="str">
        <x:v>Pet92</x:v>
      </x:c>
      <x:c r="C93" t="str">
        <x:v>Golden Crocodile</x:v>
      </x:c>
      <x:c r="D93" t="str">
        <x:v>Legendary</x:v>
      </x:c>
      <x:c r="E93" s="6" t="n">
        <x:f>ROUND($E$54*(1.05^(A93-$A$54)),2-INT(LOG10($E$54*(1.05^(A93-$A$54)))))</x:f>
        <x:v>6700</x:v>
      </x:c>
      <x:c r="F93" s="6" t="n">
        <x:f>ROUND(250*((2000/250)^((A93-$A$59)/($A$107-$A$59)))*H93,2-INT(LOG10(250*((2000/250)^((A93-$A$59)/($A$107-$A$59)))*H93)))</x:f>
        <x:v>49100000000</x:v>
      </x:c>
      <x:c r="G93" s="6" t="str">
        <x:v>SecretFeedPlaceholder1</x:v>
      </x:c>
      <x:c r="H93" s="6" t="n">
        <x:f>IF(G93="","",VLOOKUP(G93,'Feeds'!$A$2:$E$26,5,FALSE))</x:f>
        <x:v>45000000</x:v>
      </x:c>
      <x:c r="I93" s="8" t="n">
        <x:f>IF(OR(F93="",H93=""),"",ROUND(F93/H93,1))</x:f>
        <x:v>1091.1</x:v>
      </x:c>
      <x:c r="J93" t="str">
        <x:v>Pet93</x:v>
      </x:c>
    </x:row>
    <x:row r="94" ht="15.75" customHeight="1">
      <x:c r="A94" t="n">
        <x:v>93</x:v>
      </x:c>
      <x:c r="B94" t="str">
        <x:v>Pet93</x:v>
      </x:c>
      <x:c r="C94" t="str">
        <x:v>Golden Snake</x:v>
      </x:c>
      <x:c r="D94" t="str">
        <x:v>Legendary</x:v>
      </x:c>
      <x:c r="E94" s="6" t="n">
        <x:f>ROUND($E$54*(1.05^(A94-$A$54)),2-INT(LOG10($E$54*(1.05^(A94-$A$54)))))</x:f>
        <x:v>7040</x:v>
      </x:c>
      <x:c r="F94" s="6" t="n">
        <x:f>ROUND(250*((2000/250)^((A94-$A$59)/($A$107-$A$59)))*H94,2-INT(LOG10(250*((2000/250)^((A94-$A$59)/($A$107-$A$59)))*H94)))</x:f>
        <x:v>51200000000</x:v>
      </x:c>
      <x:c r="G94" s="6" t="str">
        <x:v>SecretFeedPlaceholder1</x:v>
      </x:c>
      <x:c r="H94" s="6" t="n">
        <x:f>IF(G94="","",VLOOKUP(G94,'Feeds'!$A$2:$E$26,5,FALSE))</x:f>
        <x:v>45000000</x:v>
      </x:c>
      <x:c r="I94" s="8" t="n">
        <x:f>IF(OR(F94="",H94=""),"",ROUND(F94/H94,1))</x:f>
        <x:v>1137.8</x:v>
      </x:c>
      <x:c r="J94" t="str">
        <x:v>Pet94</x:v>
      </x:c>
    </x:row>
    <x:row r="95" ht="15.75" customHeight="1">
      <x:c r="A95" t="n">
        <x:v>94</x:v>
      </x:c>
      <x:c r="B95" t="str">
        <x:v>Pet94</x:v>
      </x:c>
      <x:c r="C95" t="str">
        <x:v>Golden Cobra</x:v>
      </x:c>
      <x:c r="D95" t="str">
        <x:v>Legendary</x:v>
      </x:c>
      <x:c r="E95" s="6" t="n">
        <x:f>ROUND($E$54*(1.05^(A95-$A$54)),2-INT(LOG10($E$54*(1.05^(A95-$A$54)))))</x:f>
        <x:v>7390</x:v>
      </x:c>
      <x:c r="F95" s="6" t="n">
        <x:f>ROUND(250*((2000/250)^((A95-$A$59)/($A$107-$A$59)))*H95,2-INT(LOG10(250*((2000/250)^((A95-$A$59)/($A$107-$A$59)))*H95)))</x:f>
        <x:v>53500000000</x:v>
      </x:c>
      <x:c r="G95" s="6" t="str">
        <x:v>SecretFeedPlaceholder1</x:v>
      </x:c>
      <x:c r="H95" s="6" t="n">
        <x:f>IF(G95="","",VLOOKUP(G95,'Feeds'!$A$2:$E$26,5,FALSE))</x:f>
        <x:v>45000000</x:v>
      </x:c>
      <x:c r="I95" s="8" t="n">
        <x:f>IF(OR(F95="",H95=""),"",ROUND(F95/H95,1))</x:f>
        <x:v>1188.9</x:v>
      </x:c>
      <x:c r="J95" t="str">
        <x:v>Pet95</x:v>
      </x:c>
    </x:row>
    <x:row r="96" ht="15.75" customHeight="1">
      <x:c r="A96" t="n">
        <x:v>95</x:v>
      </x:c>
      <x:c r="B96" t="str">
        <x:v>Pet95</x:v>
      </x:c>
      <x:c r="C96" t="str">
        <x:v>Golden Hydra</x:v>
      </x:c>
      <x:c r="D96" t="str">
        <x:v>Legendary</x:v>
      </x:c>
      <x:c r="E96" s="6" t="n">
        <x:f>ROUND($E$54*(1.05^(A96-$A$54)),2-INT(LOG10($E$54*(1.05^(A96-$A$54)))))</x:f>
        <x:v>7760</x:v>
      </x:c>
      <x:c r="F96" s="6" t="n">
        <x:f>ROUND(250*((2000/250)^((A96-$A$59)/($A$107-$A$59)))*H96,2-INT(LOG10(250*((2000/250)^((A96-$A$59)/($A$107-$A$59)))*H96)))</x:f>
        <x:v>55900000000</x:v>
      </x:c>
      <x:c r="G96" s="6" t="str">
        <x:v>SecretFeedPlaceholder1</x:v>
      </x:c>
      <x:c r="H96" s="6" t="n">
        <x:f>IF(G96="","",VLOOKUP(G96,'Feeds'!$A$2:$E$26,5,FALSE))</x:f>
        <x:v>45000000</x:v>
      </x:c>
      <x:c r="I96" s="8" t="n">
        <x:f>IF(OR(F96="",H96=""),"",ROUND(F96/H96,1))</x:f>
        <x:v>1242.2</x:v>
      </x:c>
      <x:c r="J96" t="str">
        <x:v>Pet96</x:v>
      </x:c>
    </x:row>
    <x:row r="97" ht="15.75" customHeight="1">
      <x:c r="A97" t="n">
        <x:v>96</x:v>
      </x:c>
      <x:c r="B97" t="str">
        <x:v>Pet96</x:v>
      </x:c>
      <x:c r="C97" t="str">
        <x:v>Golden Ankylosaurus</x:v>
      </x:c>
      <x:c r="D97" t="str">
        <x:v>Legendary</x:v>
      </x:c>
      <x:c r="E97" s="6" t="n">
        <x:f>ROUND($E$54*(1.05^(A97-$A$54)),2-INT(LOG10($E$54*(1.05^(A97-$A$54)))))</x:f>
        <x:v>8150</x:v>
      </x:c>
      <x:c r="F97" s="6" t="n">
        <x:f>ROUND(250*((2000/250)^((A97-$A$59)/($A$107-$A$59)))*H97,2-INT(LOG10(250*((2000/250)^((A97-$A$59)/($A$107-$A$59)))*H97)))</x:f>
        <x:v>156000000000</x:v>
      </x:c>
      <x:c r="G97" s="6" t="str">
        <x:v>SecretFeedPlaceholder2</x:v>
      </x:c>
      <x:c r="H97" s="6" t="n">
        <x:f>IF(G97="","",VLOOKUP(G97,'Feeds'!$A$2:$E$26,5,FALSE))</x:f>
        <x:v>120000000</x:v>
      </x:c>
      <x:c r="I97" s="8" t="n">
        <x:f>IF(OR(F97="",H97=""),"",ROUND(F97/H97,1))</x:f>
        <x:v>1300</x:v>
      </x:c>
      <x:c r="J97" t="str">
        <x:v>Pet97</x:v>
      </x:c>
    </x:row>
    <x:row r="98" ht="15.75" customHeight="1">
      <x:c r="A98" t="n">
        <x:v>97</x:v>
      </x:c>
      <x:c r="B98" t="str">
        <x:v>Pet97</x:v>
      </x:c>
      <x:c r="C98" t="str">
        <x:v>Golden Triceratops</x:v>
      </x:c>
      <x:c r="D98" t="str">
        <x:v>Legendary</x:v>
      </x:c>
      <x:c r="E98" s="6" t="n">
        <x:f>ROUND($E$54*(1.05^(A98-$A$54)),2-INT(LOG10($E$54*(1.05^(A98-$A$54)))))</x:f>
        <x:v>8560</x:v>
      </x:c>
      <x:c r="F98" s="6" t="n">
        <x:f>ROUND(250*((2000/250)^((A98-$A$59)/($A$107-$A$59)))*H98,2-INT(LOG10(250*((2000/250)^((A98-$A$59)/($A$107-$A$59)))*H98)))</x:f>
        <x:v>163000000000</x:v>
      </x:c>
      <x:c r="G98" s="6" t="str">
        <x:v>SecretFeedPlaceholder2</x:v>
      </x:c>
      <x:c r="H98" s="6" t="n">
        <x:f>IF(G98="","",VLOOKUP(G98,'Feeds'!$A$2:$E$26,5,FALSE))</x:f>
        <x:v>120000000</x:v>
      </x:c>
      <x:c r="I98" s="8" t="n">
        <x:f>IF(OR(F98="",H98=""),"",ROUND(F98/H98,1))</x:f>
        <x:v>1358.3</x:v>
      </x:c>
      <x:c r="J98" t="str">
        <x:v>Pet98</x:v>
      </x:c>
    </x:row>
    <x:row r="99" ht="15.75" customHeight="1">
      <x:c r="A99" t="n">
        <x:v>98</x:v>
      </x:c>
      <x:c r="B99" t="str">
        <x:v>Pet98</x:v>
      </x:c>
      <x:c r="C99" t="str">
        <x:v>Golden Gallimimus</x:v>
      </x:c>
      <x:c r="D99" t="str">
        <x:v>Legendary</x:v>
      </x:c>
      <x:c r="E99" s="6" t="n">
        <x:f>ROUND($E$54*(1.05^(A99-$A$54)),2-INT(LOG10($E$54*(1.05^(A99-$A$54)))))</x:f>
        <x:v>8990</x:v>
      </x:c>
      <x:c r="F99" s="6" t="n">
        <x:f>ROUND(250*((2000/250)^((A99-$A$59)/($A$107-$A$59)))*H99,2-INT(LOG10(250*((2000/250)^((A99-$A$59)/($A$107-$A$59)))*H99)))</x:f>
        <x:v>170000000000</x:v>
      </x:c>
      <x:c r="G99" s="6" t="str">
        <x:v>SecretFeedPlaceholder2</x:v>
      </x:c>
      <x:c r="H99" s="6" t="n">
        <x:f>IF(G99="","",VLOOKUP(G99,'Feeds'!$A$2:$E$26,5,FALSE))</x:f>
        <x:v>120000000</x:v>
      </x:c>
      <x:c r="I99" s="8" t="n">
        <x:f>IF(OR(F99="",H99=""),"",ROUND(F99/H99,1))</x:f>
        <x:v>1416.7</x:v>
      </x:c>
      <x:c r="J99" t="str">
        <x:v>Pet99</x:v>
      </x:c>
    </x:row>
    <x:row r="100" ht="15.75" customHeight="1">
      <x:c r="A100" t="n">
        <x:v>99</x:v>
      </x:c>
      <x:c r="B100" t="str">
        <x:v>Pet99</x:v>
      </x:c>
      <x:c r="C100" t="str">
        <x:v>Golden Velicoraptor</x:v>
      </x:c>
      <x:c r="D100" t="str">
        <x:v>Legendary</x:v>
      </x:c>
      <x:c r="E100" s="6" t="n">
        <x:f>ROUND($E$54*(1.05^(A100-$A$54)),2-INT(LOG10($E$54*(1.05^(A100-$A$54)))))</x:f>
        <x:v>9430</x:v>
      </x:c>
      <x:c r="F100" s="6" t="n">
        <x:f>ROUND(250*((2000/250)^((A100-$A$59)/($A$107-$A$59)))*H100,2-INT(LOG10(250*((2000/250)^((A100-$A$59)/($A$107-$A$59)))*H100)))</x:f>
        <x:v>177000000000</x:v>
      </x:c>
      <x:c r="G100" s="6" t="str">
        <x:v>SecretFeedPlaceholder2</x:v>
      </x:c>
      <x:c r="H100" s="6" t="n">
        <x:f>IF(G100="","",VLOOKUP(G100,'Feeds'!$A$2:$E$26,5,FALSE))</x:f>
        <x:v>120000000</x:v>
      </x:c>
      <x:c r="I100" s="8" t="n">
        <x:f>IF(OR(F100="",H100=""),"",ROUND(F100/H100,1))</x:f>
        <x:v>1475</x:v>
      </x:c>
      <x:c r="J100" t="str">
        <x:v>Pet100</x:v>
      </x:c>
    </x:row>
    <x:row r="101" ht="15.75" customHeight="1">
      <x:c r="A101" t="n">
        <x:v>100</x:v>
      </x:c>
      <x:c r="B101" t="str">
        <x:v>Pet100</x:v>
      </x:c>
      <x:c r="C101" t="str">
        <x:v>Golden Brachiosaurus</x:v>
      </x:c>
      <x:c r="D101" t="str">
        <x:v>Legendary</x:v>
      </x:c>
      <x:c r="E101" s="6" t="n">
        <x:f>ROUND($E$54*(1.05^(A101-$A$54)),2-INT(LOG10($E$54*(1.05^(A101-$A$54)))))</x:f>
        <x:v>9910</x:v>
      </x:c>
      <x:c r="F101" s="6" t="n">
        <x:f>ROUND(250*((2000/250)^((A101-$A$59)/($A$107-$A$59)))*H101,2-INT(LOG10(250*((2000/250)^((A101-$A$59)/($A$107-$A$59)))*H101)))</x:f>
        <x:v>185000000000</x:v>
      </x:c>
      <x:c r="G101" s="6" t="str">
        <x:v>SecretFeedPlaceholder2</x:v>
      </x:c>
      <x:c r="H101" s="6" t="n">
        <x:f>IF(G101="","",VLOOKUP(G101,'Feeds'!$A$2:$E$26,5,FALSE))</x:f>
        <x:v>120000000</x:v>
      </x:c>
      <x:c r="I101" s="8" t="n">
        <x:f>IF(OR(F101="",H101=""),"",ROUND(F101/H101,1))</x:f>
        <x:v>1541.7</x:v>
      </x:c>
      <x:c r="J101" t="str">
        <x:v>Pet101</x:v>
      </x:c>
    </x:row>
    <x:row r="102" ht="15.75" customHeight="1">
      <x:c r="A102" t="n">
        <x:v>101</x:v>
      </x:c>
      <x:c r="B102" t="str">
        <x:v>Pet101</x:v>
      </x:c>
      <x:c r="C102" t="str">
        <x:v>Golden Spinosaurus</x:v>
      </x:c>
      <x:c r="D102" t="str">
        <x:v>Legendary</x:v>
      </x:c>
      <x:c r="E102" s="6" t="n">
        <x:f>ROUND($E$54*(1.05^(A102-$A$54)),2-INT(LOG10($E$54*(1.05^(A102-$A$54)))))</x:f>
        <x:v>10400</x:v>
      </x:c>
      <x:c r="F102" s="6" t="n">
        <x:f>ROUND(250*((2000/250)^((A102-$A$59)/($A$107-$A$59)))*H102,2-INT(LOG10(250*((2000/250)^((A102-$A$59)/($A$107-$A$59)))*H102)))</x:f>
        <x:v>193000000000</x:v>
      </x:c>
      <x:c r="G102" s="6" t="str">
        <x:v>SecretFeedPlaceholder2</x:v>
      </x:c>
      <x:c r="H102" s="6" t="n">
        <x:f>IF(G102="","",VLOOKUP(G102,'Feeds'!$A$2:$E$26,5,FALSE))</x:f>
        <x:v>120000000</x:v>
      </x:c>
      <x:c r="I102" s="8" t="n">
        <x:f>IF(OR(F102="",H102=""),"",ROUND(F102/H102,1))</x:f>
        <x:v>1608.3</x:v>
      </x:c>
      <x:c r="J102" t="str">
        <x:v>Pet102</x:v>
      </x:c>
    </x:row>
    <x:row r="103" ht="15.75" customHeight="1">
      <x:c r="A103" t="n">
        <x:v>102</x:v>
      </x:c>
      <x:c r="B103" t="str">
        <x:v>Pet102</x:v>
      </x:c>
      <x:c r="C103" t="str">
        <x:v>Golden T-Rex</x:v>
      </x:c>
      <x:c r="D103" t="str">
        <x:v>Legendary</x:v>
      </x:c>
      <x:c r="E103" s="6" t="n">
        <x:f>ROUND($E$54*(1.05^(A103-$A$54)),2-INT(LOG10($E$54*(1.05^(A103-$A$54)))))</x:f>
        <x:v>10900</x:v>
      </x:c>
      <x:c r="F103" s="6" t="n">
        <x:f>ROUND(250*((2000/250)^((A103-$A$59)/($A$107-$A$59)))*H103,2-INT(LOG10(250*((2000/250)^((A103-$A$59)/($A$107-$A$59)))*H103)))</x:f>
        <x:v>202000000000</x:v>
      </x:c>
      <x:c r="G103" s="6" t="str">
        <x:v>SecretFeedPlaceholder2</x:v>
      </x:c>
      <x:c r="H103" s="6" t="n">
        <x:f>IF(G103="","",VLOOKUP(G103,'Feeds'!$A$2:$E$26,5,FALSE))</x:f>
        <x:v>120000000</x:v>
      </x:c>
      <x:c r="I103" s="8" t="n">
        <x:f>IF(OR(F103="",H103=""),"",ROUND(F103/H103,1))</x:f>
        <x:v>1683.3</x:v>
      </x:c>
      <x:c r="J103" t="str">
        <x:v>Pet103</x:v>
      </x:c>
    </x:row>
    <x:row r="104" ht="15.75" customHeight="1">
      <x:c r="A104" t="n">
        <x:v>103</x:v>
      </x:c>
      <x:c r="B104" t="str">
        <x:v>Pet103</x:v>
      </x:c>
      <x:c r="C104" t="str">
        <x:v>Golden Mammoth</x:v>
      </x:c>
      <x:c r="D104" t="str">
        <x:v>Mythical</x:v>
      </x:c>
      <x:c r="E104" s="6" t="n">
        <x:f>ROUND($E$54*(1.05^(A104-$A$54)),2-INT(LOG10($E$54*(1.05^(A104-$A$54)))))</x:f>
        <x:v>11500</x:v>
      </x:c>
      <x:c r="F104" s="6" t="n">
        <x:f>ROUND(250*((2000/250)^((A104-$A$59)/($A$107-$A$59)))*H104,2-INT(LOG10(250*((2000/250)^((A104-$A$59)/($A$107-$A$59)))*H104)))</x:f>
        <x:v>211000000000</x:v>
      </x:c>
      <x:c r="G104" s="6" t="str">
        <x:v>SecretFeedPlaceholder2</x:v>
      </x:c>
      <x:c r="H104" s="6" t="n">
        <x:f>IF(G104="","",VLOOKUP(G104,'Feeds'!$A$2:$E$26,5,FALSE))</x:f>
        <x:v>120000000</x:v>
      </x:c>
      <x:c r="I104" s="8" t="n">
        <x:f>IF(OR(F104="",H104=""),"",ROUND(F104/H104,1))</x:f>
        <x:v>1758.3</x:v>
      </x:c>
      <x:c r="J104" t="str">
        <x:v>Pet104</x:v>
      </x:c>
    </x:row>
    <x:row r="105" ht="15.75" customHeight="1">
      <x:c r="A105" t="n">
        <x:v>104</x:v>
      </x:c>
      <x:c r="B105" t="str">
        <x:v>Pet104</x:v>
      </x:c>
      <x:c r="C105" t="str">
        <x:v>Golden Mosasaurus</x:v>
      </x:c>
      <x:c r="D105" t="str">
        <x:v>Mythical</x:v>
      </x:c>
      <x:c r="E105" s="6" t="n">
        <x:f>ROUND($E$54*(1.05^(A105-$A$54)),2-INT(LOG10($E$54*(1.05^(A105-$A$54)))))</x:f>
        <x:v>12000</x:v>
      </x:c>
      <x:c r="F105" s="6" t="n">
        <x:f>ROUND(250*((2000/250)^((A105-$A$59)/($A$107-$A$59)))*H105,2-INT(LOG10(250*((2000/250)^((A105-$A$59)/($A$107-$A$59)))*H105)))</x:f>
        <x:v>220000000000</x:v>
      </x:c>
      <x:c r="G105" s="6" t="str">
        <x:v>SecretFeedPlaceholder2</x:v>
      </x:c>
      <x:c r="H105" s="6" t="n">
        <x:f>IF(G105="","",VLOOKUP(G105,'Feeds'!$A$2:$E$26,5,FALSE))</x:f>
        <x:v>120000000</x:v>
      </x:c>
      <x:c r="I105" s="8" t="n">
        <x:f>IF(OR(F105="",H105=""),"",ROUND(F105/H105,1))</x:f>
        <x:v>1833.3</x:v>
      </x:c>
      <x:c r="J105" t="str">
        <x:v>Pet105</x:v>
      </x:c>
    </x:row>
    <x:row r="106" ht="15.75" customHeight="1">
      <x:c r="A106" t="n">
        <x:v>105</x:v>
      </x:c>
      <x:c r="B106" t="str">
        <x:v>Pet105</x:v>
      </x:c>
      <x:c r="C106" t="str">
        <x:v>Golden Kitsune</x:v>
      </x:c>
      <x:c r="D106" t="str">
        <x:v>Mythical</x:v>
      </x:c>
      <x:c r="E106" s="6" t="n">
        <x:f>ROUND($E$54*(1.05^(A106-$A$54)),2-INT(LOG10($E$54*(1.05^(A106-$A$54)))))</x:f>
        <x:v>12600</x:v>
      </x:c>
      <x:c r="F106" s="6" t="n">
        <x:f>ROUND(250*((2000/250)^((A106-$A$59)/($A$107-$A$59)))*H106,2-INT(LOG10(250*((2000/250)^((A106-$A$59)/($A$107-$A$59)))*H106)))</x:f>
        <x:v>230000000000</x:v>
      </x:c>
      <x:c r="G106" s="6" t="str">
        <x:v>SecretFeedPlaceholder2</x:v>
      </x:c>
      <x:c r="H106" s="6" t="n">
        <x:f>IF(G106="","",VLOOKUP(G106,'Feeds'!$A$2:$E$26,5,FALSE))</x:f>
        <x:v>120000000</x:v>
      </x:c>
      <x:c r="I106" s="8" t="n">
        <x:f>IF(OR(F106="",H106=""),"",ROUND(F106/H106,1))</x:f>
        <x:v>1916.7</x:v>
      </x:c>
      <x:c r="J106" t="str">
        <x:v>Pet106</x:v>
      </x:c>
    </x:row>
    <x:row r="107" ht="15.75" customHeight="1">
      <x:c r="A107" t="n">
        <x:v>106</x:v>
      </x:c>
      <x:c r="B107" t="str">
        <x:v>Pet106</x:v>
      </x:c>
      <x:c r="C107" t="str">
        <x:v>Golden Unicorn</x:v>
      </x:c>
      <x:c r="D107" t="str">
        <x:v>Mythical</x:v>
      </x:c>
      <x:c r="E107" s="6" t="n">
        <x:f>ROUND($E$54*(1.05^(A107-$A$54)),2-INT(LOG10($E$54*(1.05^(A107-$A$54)))))</x:f>
        <x:v>13300</x:v>
      </x:c>
      <x:c r="F107" s="6" t="n">
        <x:f>ROUND(250*((2000/250)^((A107-$A$59)/($A$107-$A$59)))*H107,2-INT(LOG10(250*((2000/250)^((A107-$A$59)/($A$107-$A$59)))*H107)))</x:f>
        <x:v>240000000000</x:v>
      </x:c>
      <x:c r="G107" s="6" t="str">
        <x:v>SecretFeedPlaceholder2</x:v>
      </x:c>
      <x:c r="H107" s="6" t="n">
        <x:f>IF(G107="","",VLOOKUP(G107,'Feeds'!$A$2:$E$26,5,FALSE))</x:f>
        <x:v>120000000</x:v>
      </x:c>
      <x:c r="I107" s="8" t="n">
        <x:f>IF(OR(F107="",H107=""),"",ROUND(F107/H107,1))</x:f>
        <x:v>2000</x:v>
      </x:c>
      <x:c r="J107"/>
    </x:row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legacyDrawing xmlns:r="http://schemas.openxmlformats.org/officeDocument/2006/relationships" r:id="R6203a6700f5a424f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2" width="26" customWidth="1"/>
    <x:col min="3" max="3" width="29" hidden="0" customWidth="1"/>
    <x:col min="4" max="5" width="14" customWidth="1"/>
    <x:col min="6" max="6" width="16" customWidth="1"/>
    <x:col min="7" max="7" width="14" customWidth="1"/>
    <x:col min="8" max="9" width="18" customWidth="1"/>
    <x:col min="10" max="11" width="16" customWidth="1"/>
    <x:col min="12" max="13" width="14" customWidth="1"/>
    <x:col min="1" max="1" width="29" hidden="0" customWidth="1"/>
    <x:col min="2" max="2" width="29" hidden="0" customWidth="1"/>
  </x:cols>
  <x:sheetData>
    <x:row r="1">
      <x:c r="A1" s="1" t="s">
        <x:v>70</x:v>
      </x:c>
      <x:c r="B1" s="1" t="s">
        <x:v>62</x:v>
      </x:c>
      <x:c r="C1" s="1" t="s">
        <x:v>28</x:v>
      </x:c>
      <x:c r="D1" s="1" t="s">
        <x:v>63</x:v>
      </x:c>
      <x:c r="E1" s="1" t="s">
        <x:v>71</x:v>
      </x:c>
      <x:c r="F1" s="1" t="s">
        <x:v>72</x:v>
      </x:c>
      <x:c r="G1" s="1" t="s">
        <x:v>73</x:v>
      </x:c>
      <x:c r="H1" s="1" t="s">
        <x:v>74</x:v>
      </x:c>
      <x:c r="I1" s="1" t="s">
        <x:v>75</x:v>
      </x:c>
      <x:c r="J1" s="1" t="s">
        <x:v>76</x:v>
      </x:c>
      <x:c r="K1" s="1" t="s">
        <x:v>77</x:v>
      </x:c>
      <x:c r="L1" s="1" t="s">
        <x:v>78</x:v>
      </x:c>
      <x:c r="M1" s="1" t="s">
        <x:v>79</x:v>
      </x:c>
    </x:row>
    <x:row r="2">
      <x:c r="A2" s="2" t="s">
        <x:v>80</x:v>
      </x:c>
      <x:c r="B2" s="2" t="s">
        <x:v>81</x:v>
      </x:c>
      <x:c r="C2" s="2" t="s">
        <x:v>34</x:v>
      </x:c>
      <x:c r="D2" s="2" t="s">
        <x:v>82</x:v>
      </x:c>
      <x:c r="E2" s="5" t="n">
        <x:v>2</x:v>
      </x:c>
      <x:c r="F2" s="2" t="str">
        <x:f t="shared" ref="F2:F21" si="1">"1 in "&amp;E2</x:f>
        <x:v>1 in 2</x:v>
      </x:c>
      <x:c r="G2" s="2" t="s">
        <x:v>83</x:v>
      </x:c>
      <x:c r="H2" s="2" t="str">
        <x:f>VLOOKUP(G2,'Pets'!$B$2:$E$107,2,FALSE)</x:f>
        <x:v>Chicken</x:v>
      </x:c>
      <x:c r="I2" s="5" t="n">
        <x:f>VLOOKUP(G2,'Pets'!$B$2:$E$107,4,FALSE)</x:f>
        <x:v>1</x:v>
      </x:c>
      <x:c r="J2" s="5">
        <x:v>2.0</x:v>
      </x:c>
      <x:c r="K2" s="5" t="n">
        <x:f t="shared" ref="K2:K21" si="2">I2*60*J2</x:f>
        <x:v>120</x:v>
      </x:c>
      <x:c r="L2" s="5">
        <x:v>50.0</x:v>
      </x:c>
      <x:c r="M2" s="5" t="n">
        <x:f t="shared" ref="M2:M21" si="3">L2-K2</x:f>
        <x:v>-70</x:v>
      </x:c>
    </x:row>
    <x:row r="3">
      <x:c r="A3" s="2" t="s">
        <x:v>84</x:v>
      </x:c>
      <x:c r="B3" s="2" t="s">
        <x:v>85</x:v>
      </x:c>
      <x:c r="C3" s="2" t="s">
        <x:v>38</x:v>
      </x:c>
      <x:c r="D3" s="2" t="s">
        <x:v>82</x:v>
      </x:c>
      <x:c r="E3" s="5" t="n">
        <x:v>3</x:v>
      </x:c>
      <x:c r="F3" s="2" t="str">
        <x:f t="shared" si="1">"1 in "&amp;E3</x:f>
        <x:v>1 in 3</x:v>
      </x:c>
      <x:c r="G3" s="2" t="s">
        <x:v>86</x:v>
      </x:c>
      <x:c r="H3" s="2" t="str">
        <x:f>VLOOKUP(G3,'Pets'!$B$2:$E$107,2,FALSE)</x:f>
        <x:v>Bunny</x:v>
      </x:c>
      <x:c r="I3" s="5" t="n">
        <x:f>VLOOKUP(G3,'Pets'!$B$2:$E$107,4,FALSE)</x:f>
        <x:v>5</x:v>
      </x:c>
      <x:c r="J3" s="5">
        <x:v>2.0</x:v>
      </x:c>
      <x:c r="K3" s="5" t="n">
        <x:f t="shared" si="2">I3*60*J3</x:f>
        <x:v>600</x:v>
      </x:c>
      <x:c r="L3" s="5">
        <x:v>100.0</x:v>
      </x:c>
      <x:c r="M3" s="5" t="n">
        <x:f t="shared" si="3">L3-K3</x:f>
        <x:v>-500</x:v>
      </x:c>
    </x:row>
    <x:row r="4">
      <x:c r="A4" s="2" t="s">
        <x:v>87</x:v>
      </x:c>
      <x:c r="B4" s="2" t="s">
        <x:v>88</x:v>
      </x:c>
      <x:c r="C4" s="2" t="s">
        <x:v>41</x:v>
      </x:c>
      <x:c r="D4" s="2" t="s">
        <x:v>82</x:v>
      </x:c>
      <x:c r="E4" s="5" t="n">
        <x:v>16</x:v>
      </x:c>
      <x:c r="F4" s="2" t="str">
        <x:f t="shared" si="1">"1 in "&amp;E4</x:f>
        <x:v>1 in 16</x:v>
      </x:c>
      <x:c r="G4" s="2" t="s">
        <x:v>89</x:v>
      </x:c>
      <x:c r="H4" s="2" t="str">
        <x:f>VLOOKUP(G4,'Pets'!$B$2:$E$107,2,FALSE)</x:f>
        <x:v>Parrot</x:v>
      </x:c>
      <x:c r="I4" s="5" t="n">
        <x:f>VLOOKUP(G4,'Pets'!$B$2:$E$107,4,FALSE)</x:f>
        <x:v>8</x:v>
      </x:c>
      <x:c r="J4" s="5">
        <x:v>2.0</x:v>
      </x:c>
      <x:c r="K4" s="5" t="n">
        <x:f t="shared" si="2">I4*60*J4</x:f>
        <x:v>960</x:v>
      </x:c>
      <x:c r="L4" s="5">
        <x:v>500.0</x:v>
      </x:c>
      <x:c r="M4" s="5" t="n">
        <x:f t="shared" si="3">L4-K4</x:f>
        <x:v>-460</x:v>
      </x:c>
    </x:row>
    <x:row r="5">
      <x:c r="A5" s="2" t="s">
        <x:v>90</x:v>
      </x:c>
      <x:c r="B5" s="2" t="s">
        <x:v>91</x:v>
      </x:c>
      <x:c r="C5" s="2" t="s">
        <x:v>43</x:v>
      </x:c>
      <x:c r="D5" s="2" t="s">
        <x:v>92</x:v>
      </x:c>
      <x:c r="E5" s="5" t="n">
        <x:v>28</x:v>
      </x:c>
      <x:c r="F5" s="2" t="str">
        <x:f t="shared" si="1">"1 in "&amp;E5</x:f>
        <x:v>1 in 28</x:v>
      </x:c>
      <x:c r="G5" s="2" t="s">
        <x:v>93</x:v>
      </x:c>
      <x:c r="H5" s="2" t="str">
        <x:f>VLOOKUP(G5,'Pets'!$B$2:$E$107,2,FALSE)</x:f>
        <x:v>Cat</x:v>
      </x:c>
      <x:c r="I5" s="5" t="n">
        <x:f>VLOOKUP(G5,'Pets'!$B$2:$E$107,4,FALSE)</x:f>
        <x:v>12</x:v>
      </x:c>
      <x:c r="J5" s="5">
        <x:v>2.0</x:v>
      </x:c>
      <x:c r="K5" s="5" t="n">
        <x:f t="shared" si="2">I5*60*J5</x:f>
        <x:v>1440</x:v>
      </x:c>
      <x:c r="L5" s="5">
        <x:v>1500.0</x:v>
      </x:c>
      <x:c r="M5" s="5" t="n">
        <x:f t="shared" si="3">L5-K5</x:f>
        <x:v>60</x:v>
      </x:c>
    </x:row>
    <x:row r="6">
      <x:c r="A6" s="2" t="s">
        <x:v>94</x:v>
      </x:c>
      <x:c r="B6" s="2" t="s">
        <x:v>95</x:v>
      </x:c>
      <x:c r="C6" s="2" t="s">
        <x:v>44</x:v>
      </x:c>
      <x:c r="D6" s="2" t="s">
        <x:v>92</x:v>
      </x:c>
      <x:c r="E6" s="5" t="n">
        <x:v>45</x:v>
      </x:c>
      <x:c r="F6" s="2" t="str">
        <x:f t="shared" si="1">"1 in "&amp;E6</x:f>
        <x:v>1 in 45</x:v>
      </x:c>
      <x:c r="G6" s="2" t="s">
        <x:v>96</x:v>
      </x:c>
      <x:c r="H6" s="2" t="str">
        <x:f>VLOOKUP(G6,'Pets'!$B$2:$E$107,2,FALSE)</x:f>
        <x:v>Bull</x:v>
      </x:c>
      <x:c r="I6" s="5" t="n">
        <x:f>VLOOKUP(G6,'Pets'!$B$2:$E$107,4,FALSE)</x:f>
        <x:v>17</x:v>
      </x:c>
      <x:c r="J6" s="5">
        <x:v>2.0</x:v>
      </x:c>
      <x:c r="K6" s="5" t="n">
        <x:f t="shared" si="2">I6*60*J6</x:f>
        <x:v>2040</x:v>
      </x:c>
      <x:c r="L6" s="5">
        <x:v>2000.0</x:v>
      </x:c>
      <x:c r="M6" s="5" t="n">
        <x:f t="shared" si="3">L6-K6</x:f>
        <x:v>-40</x:v>
      </x:c>
    </x:row>
    <x:row r="7">
      <x:c r="A7" s="2" t="s">
        <x:v>97</x:v>
      </x:c>
      <x:c r="B7" s="2" t="s">
        <x:v>98</x:v>
      </x:c>
      <x:c r="C7" s="2" t="s">
        <x:v>45</x:v>
      </x:c>
      <x:c r="D7" s="2" t="s">
        <x:v>92</x:v>
      </x:c>
      <x:c r="E7" s="5" t="n">
        <x:v>75</x:v>
      </x:c>
      <x:c r="F7" s="2" t="str">
        <x:f t="shared" si="1">"1 in "&amp;E7</x:f>
        <x:v>1 in 75</x:v>
      </x:c>
      <x:c r="G7" s="2" t="s">
        <x:v>99</x:v>
      </x:c>
      <x:c r="H7" s="2" t="str">
        <x:f>VLOOKUP(G7,'Pets'!$B$2:$E$107,2,FALSE)</x:f>
        <x:v>Golden Retriver</x:v>
      </x:c>
      <x:c r="I7" s="5" t="n">
        <x:f>VLOOKUP(G7,'Pets'!$B$2:$E$107,4,FALSE)</x:f>
        <x:v>24</x:v>
      </x:c>
      <x:c r="J7" s="5">
        <x:v>2.0</x:v>
      </x:c>
      <x:c r="K7" s="5" t="n">
        <x:f t="shared" si="2">I7*60*J7</x:f>
        <x:v>2880</x:v>
      </x:c>
      <x:c r="L7" s="5">
        <x:v>3000.0</x:v>
      </x:c>
      <x:c r="M7" s="5" t="n">
        <x:f t="shared" si="3">L7-K7</x:f>
        <x:v>120</x:v>
      </x:c>
    </x:row>
    <x:row r="8">
      <x:c r="A8" s="2" t="s">
        <x:v>100</x:v>
      </x:c>
      <x:c r="B8" s="2" t="s">
        <x:v>101</x:v>
      </x:c>
      <x:c r="C8" s="2" t="s">
        <x:v>46</x:v>
      </x:c>
      <x:c r="D8" s="2" t="s">
        <x:v>92</x:v>
      </x:c>
      <x:c r="E8" s="5">
        <x:v>256.0</x:v>
      </x:c>
      <x:c r="F8" s="2" t="str">
        <x:f t="shared" si="1">"1 in "&amp;E8</x:f>
        <x:v>1 in 256</x:v>
      </x:c>
      <x:c r="G8" s="2" t="s">
        <x:v>102</x:v>
      </x:c>
      <x:c r="H8" s="2" t="str">
        <x:f>VLOOKUP(G8,'Pets'!$B$2:$E$107,2,FALSE)</x:f>
        <x:v>Capybara</x:v>
      </x:c>
      <x:c r="I8" s="5" t="n">
        <x:f>VLOOKUP(G8,'Pets'!$B$2:$E$107,4,FALSE)</x:f>
        <x:v>30</x:v>
      </x:c>
      <x:c r="J8" s="5">
        <x:v>2.0</x:v>
      </x:c>
      <x:c r="K8" s="5" t="n">
        <x:f t="shared" si="2">I8*60*J8</x:f>
        <x:v>3600</x:v>
      </x:c>
      <x:c r="L8" s="5">
        <x:v>3500.0</x:v>
      </x:c>
      <x:c r="M8" s="5" t="n">
        <x:f t="shared" si="3">L8-K8</x:f>
        <x:v>-100</x:v>
      </x:c>
    </x:row>
    <x:row r="9">
      <x:c r="A9" s="2" t="s">
        <x:v>103</x:v>
      </x:c>
      <x:c r="B9" s="2" t="s">
        <x:v>104</x:v>
      </x:c>
      <x:c r="C9" s="2" t="s">
        <x:v>47</x:v>
      </x:c>
      <x:c r="D9" s="2" t="s">
        <x:v>105</x:v>
      </x:c>
      <x:c r="E9" s="5">
        <x:v>427.0</x:v>
      </x:c>
      <x:c r="F9" s="2" t="str">
        <x:f t="shared" si="1">"1 in "&amp;E9</x:f>
        <x:v>1 in 427</x:v>
      </x:c>
      <x:c r="G9" s="2" t="s">
        <x:v>106</x:v>
      </x:c>
      <x:c r="H9" s="2" t="str">
        <x:f>VLOOKUP(G9,'Pets'!$B$2:$E$107,2,FALSE)</x:f>
        <x:v>Lizard</x:v>
      </x:c>
      <x:c r="I9" s="5" t="n">
        <x:f>VLOOKUP(G9,'Pets'!$B$2:$E$107,4,FALSE)</x:f>
        <x:v>40</x:v>
      </x:c>
      <x:c r="J9" s="5">
        <x:v>2.0</x:v>
      </x:c>
      <x:c r="K9" s="5" t="n">
        <x:f t="shared" si="2">I9*60*J9</x:f>
        <x:v>4800</x:v>
      </x:c>
      <x:c r="L9" s="5">
        <x:v>5000.0</x:v>
      </x:c>
      <x:c r="M9" s="5" t="n">
        <x:f t="shared" si="3">L9-K9</x:f>
        <x:v>200</x:v>
      </x:c>
    </x:row>
    <x:row r="10">
      <x:c r="A10" s="2" t="s">
        <x:v>107</x:v>
      </x:c>
      <x:c r="B10" s="2" t="s">
        <x:v>108</x:v>
      </x:c>
      <x:c r="C10" s="2" t="s">
        <x:v>48</x:v>
      </x:c>
      <x:c r="D10" s="2" t="s">
        <x:v>105</x:v>
      </x:c>
      <x:c r="E10" s="5">
        <x:v>512.0</x:v>
      </x:c>
      <x:c r="F10" s="2" t="str">
        <x:f t="shared" si="1">"1 in "&amp;E10</x:f>
        <x:v>1 in 512</x:v>
      </x:c>
      <x:c r="G10" s="2" t="s">
        <x:v>109</x:v>
      </x:c>
      <x:c r="H10" s="2" t="str">
        <x:f>VLOOKUP(G10,'Pets'!$B$2:$E$107,2,FALSE)</x:f>
        <x:v>Goldfish</x:v>
      </x:c>
      <x:c r="I10" s="5" t="n">
        <x:f>VLOOKUP(G10,'Pets'!$B$2:$E$107,4,FALSE)</x:f>
        <x:v>63</x:v>
      </x:c>
      <x:c r="J10" s="5">
        <x:v>2.0</x:v>
      </x:c>
      <x:c r="K10" s="5" t="n">
        <x:f t="shared" si="2">I10*60*J10</x:f>
        <x:v>7560</x:v>
      </x:c>
      <x:c r="L10" s="5">
        <x:v>7500.0</x:v>
      </x:c>
      <x:c r="M10" s="5" t="n">
        <x:f t="shared" si="3">L10-K10</x:f>
        <x:v>-60</x:v>
      </x:c>
    </x:row>
    <x:row r="11">
      <x:c r="A11" s="2" t="s">
        <x:v>110</x:v>
      </x:c>
      <x:c r="B11" s="2" t="s">
        <x:v>111</x:v>
      </x:c>
      <x:c r="C11" s="2" t="s">
        <x:v>49</x:v>
      </x:c>
      <x:c r="D11" s="2" t="s">
        <x:v>105</x:v>
      </x:c>
      <x:c r="E11" s="5">
        <x:v>640.0</x:v>
      </x:c>
      <x:c r="F11" s="2" t="str">
        <x:f t="shared" si="1">"1 in "&amp;E11</x:f>
        <x:v>1 in 640</x:v>
      </x:c>
      <x:c r="G11" s="2" t="s">
        <x:v>112</x:v>
      </x:c>
      <x:c r="H11" s="2" t="str">
        <x:f>VLOOKUP(G11,'Pets'!$B$2:$E$107,2,FALSE)</x:f>
        <x:v>Whale</x:v>
      </x:c>
      <x:c r="I11" s="5" t="n">
        <x:f>VLOOKUP(G11,'Pets'!$B$2:$E$107,4,FALSE)</x:f>
        <x:v>90</x:v>
      </x:c>
      <x:c r="J11" s="5">
        <x:v>2.0</x:v>
      </x:c>
      <x:c r="K11" s="5" t="n">
        <x:f t="shared" si="2">I11*60*J11</x:f>
        <x:v>10800</x:v>
      </x:c>
      <x:c r="L11" s="5">
        <x:v>10000.0</x:v>
      </x:c>
      <x:c r="M11" s="5" t="n">
        <x:f t="shared" si="3">L11-K11</x:f>
        <x:v>-800</x:v>
      </x:c>
    </x:row>
    <x:row r="12">
      <x:c r="A12" s="2" t="s">
        <x:v>113</x:v>
      </x:c>
      <x:c r="B12" s="2" t="s">
        <x:v>114</x:v>
      </x:c>
      <x:c r="C12" s="2" t="s">
        <x:v>50</x:v>
      </x:c>
      <x:c r="D12" s="2" t="s">
        <x:v>105</x:v>
      </x:c>
      <x:c r="E12" s="5">
        <x:v>853.0</x:v>
      </x:c>
      <x:c r="F12" s="2" t="str">
        <x:f t="shared" si="1">"1 in "&amp;E12</x:f>
        <x:v>1 in 853</x:v>
      </x:c>
      <x:c r="G12" s="2" t="s">
        <x:v>115</x:v>
      </x:c>
      <x:c r="H12" s="2" t="str">
        <x:f>VLOOKUP(G12,'Pets'!$B$2:$E$107,2,FALSE)</x:f>
        <x:v>Ostrich</x:v>
      </x:c>
      <x:c r="I12" s="5" t="n">
        <x:f>VLOOKUP(G12,'Pets'!$B$2:$E$107,4,FALSE)</x:f>
        <x:v>113</x:v>
      </x:c>
      <x:c r="J12" s="5">
        <x:v>2.0</x:v>
      </x:c>
      <x:c r="K12" s="5" t="n">
        <x:f t="shared" si="2">I12*60*J12</x:f>
        <x:v>13560</x:v>
      </x:c>
      <x:c r="L12" s="5">
        <x:v>12500.0</x:v>
      </x:c>
      <x:c r="M12" s="5" t="n">
        <x:f t="shared" si="3">L12-K12</x:f>
        <x:v>-1060</x:v>
      </x:c>
    </x:row>
    <x:row r="13">
      <x:c r="A13" s="2" t="s">
        <x:v>116</x:v>
      </x:c>
      <x:c r="B13" s="2" t="s">
        <x:v>117</x:v>
      </x:c>
      <x:c r="C13" s="2" t="s">
        <x:v>51</x:v>
      </x:c>
      <x:c r="D13" s="2" t="s">
        <x:v>105</x:v>
      </x:c>
      <x:c r="E13" s="5">
        <x:v>1200.0</x:v>
      </x:c>
      <x:c r="F13" s="2" t="str">
        <x:f t="shared" si="1">"1 in "&amp;E13</x:f>
        <x:v>1 in 1200</x:v>
      </x:c>
      <x:c r="G13" s="2" t="s">
        <x:v>118</x:v>
      </x:c>
      <x:c r="H13" s="2" t="str">
        <x:f>VLOOKUP(G13,'Pets'!$B$2:$E$107,2,FALSE)</x:f>
        <x:v>Giraffee</x:v>
      </x:c>
      <x:c r="I13" s="5" t="n">
        <x:f>VLOOKUP(G13,'Pets'!$B$2:$E$107,4,FALSE)</x:f>
        <x:v>155</x:v>
      </x:c>
      <x:c r="J13" s="5">
        <x:v>2.0</x:v>
      </x:c>
      <x:c r="K13" s="5" t="n">
        <x:f t="shared" si="2">I13*60*J13</x:f>
        <x:v>18600</x:v>
      </x:c>
      <x:c r="L13" s="5">
        <x:v>15000.0</x:v>
      </x:c>
      <x:c r="M13" s="5" t="n">
        <x:f t="shared" si="3">L13-K13</x:f>
        <x:v>-3600</x:v>
      </x:c>
    </x:row>
    <x:row r="14">
      <x:c r="A14" s="2" t="s">
        <x:v>119</x:v>
      </x:c>
      <x:c r="B14" s="2" t="s">
        <x:v>120</x:v>
      </x:c>
      <x:c r="C14" s="2" t="s">
        <x:v>52</x:v>
      </x:c>
      <x:c r="D14" s="2" t="s">
        <x:v>121</x:v>
      </x:c>
      <x:c r="E14" s="5">
        <x:v>1707.0</x:v>
      </x:c>
      <x:c r="F14" s="2" t="str">
        <x:f t="shared" si="1">"1 in "&amp;E14</x:f>
        <x:v>1 in 1707</x:v>
      </x:c>
      <x:c r="G14" s="2" t="s">
        <x:v>122</x:v>
      </x:c>
      <x:c r="H14" s="2" t="str">
        <x:f>VLOOKUP(G14,'Pets'!$B$2:$E$107,2,FALSE)</x:f>
        <x:v>Polar Bear</x:v>
      </x:c>
      <x:c r="I14" s="5" t="n">
        <x:f>VLOOKUP(G14,'Pets'!$B$2:$E$107,4,FALSE)</x:f>
        <x:v>207</x:v>
      </x:c>
      <x:c r="J14" s="5">
        <x:v>2.0</x:v>
      </x:c>
      <x:c r="K14" s="5" t="n">
        <x:f t="shared" si="2">I14*60*J14</x:f>
        <x:v>24840</x:v>
      </x:c>
      <x:c r="L14" s="5">
        <x:v>25000.0</x:v>
      </x:c>
      <x:c r="M14" s="5" t="n">
        <x:f t="shared" si="3">L14-K14</x:f>
        <x:v>160</x:v>
      </x:c>
    </x:row>
    <x:row r="15">
      <x:c r="A15" s="2" t="s">
        <x:v>123</x:v>
      </x:c>
      <x:c r="B15" s="2" t="s">
        <x:v>124</x:v>
      </x:c>
      <x:c r="C15" s="2" t="s">
        <x:v>53</x:v>
      </x:c>
      <x:c r="D15" s="2" t="s">
        <x:v>121</x:v>
      </x:c>
      <x:c r="E15" s="5">
        <x:v>2560.0</x:v>
      </x:c>
      <x:c r="F15" s="2" t="str">
        <x:f t="shared" si="1">"1 in "&amp;E15</x:f>
        <x:v>1 in 2560</x:v>
      </x:c>
      <x:c r="G15" s="2" t="s">
        <x:v>125</x:v>
      </x:c>
      <x:c r="H15" s="2" t="str">
        <x:f>VLOOKUP(G15,'Pets'!$B$2:$E$107,2,FALSE)</x:f>
        <x:v>Lion</x:v>
      </x:c>
      <x:c r="I15" s="5" t="n">
        <x:f>VLOOKUP(G15,'Pets'!$B$2:$E$107,4,FALSE)</x:f>
        <x:v>300</x:v>
      </x:c>
      <x:c r="J15" s="5">
        <x:v>2.0</x:v>
      </x:c>
      <x:c r="K15" s="5" t="n">
        <x:f t="shared" si="2">I15*60*J15</x:f>
        <x:v>36000</x:v>
      </x:c>
      <x:c r="L15" s="5">
        <x:v>35000.0</x:v>
      </x:c>
      <x:c r="M15" s="5" t="n">
        <x:f t="shared" si="3">L15-K15</x:f>
        <x:v>-1000</x:v>
      </x:c>
    </x:row>
    <x:row r="16">
      <x:c r="A16" s="2" t="s">
        <x:v>126</x:v>
      </x:c>
      <x:c r="B16" s="2" t="s">
        <x:v>127</x:v>
      </x:c>
      <x:c r="C16" s="2" t="s">
        <x:v>54</x:v>
      </x:c>
      <x:c r="D16" s="2" t="s">
        <x:v>121</x:v>
      </x:c>
      <x:c r="E16" s="5">
        <x:v>32000.0</x:v>
      </x:c>
      <x:c r="F16" s="2" t="str">
        <x:f t="shared" si="1">"1 in "&amp;E16</x:f>
        <x:v>1 in 32000</x:v>
      </x:c>
      <x:c r="G16" s="2" t="s">
        <x:v>128</x:v>
      </x:c>
      <x:c r="H16" s="2" t="str">
        <x:f>VLOOKUP(G16,'Pets'!$B$2:$E$107,2,FALSE)</x:f>
        <x:v>Crocodile</x:v>
      </x:c>
      <x:c r="I16" s="5" t="n">
        <x:f>VLOOKUP(G16,'Pets'!$B$2:$E$107,4,FALSE)</x:f>
        <x:v>360</x:v>
      </x:c>
      <x:c r="J16" s="5">
        <x:v>2.0</x:v>
      </x:c>
      <x:c r="K16" s="5" t="n">
        <x:f t="shared" si="2">I16*60*J16</x:f>
        <x:v>43200</x:v>
      </x:c>
      <x:c r="L16" s="5">
        <x:v>40000.0</x:v>
      </x:c>
      <x:c r="M16" s="5" t="n">
        <x:f t="shared" si="3">L16-K16</x:f>
        <x:v>-3200</x:v>
      </x:c>
    </x:row>
    <x:row r="17">
      <x:c r="A17" s="2" t="s">
        <x:v>129</x:v>
      </x:c>
      <x:c r="B17" s="2" t="s">
        <x:v>130</x:v>
      </x:c>
      <x:c r="C17" s="2" t="s">
        <x:v>55</x:v>
      </x:c>
      <x:c r="D17" s="2" t="s">
        <x:v>121</x:v>
      </x:c>
      <x:c r="E17" s="5">
        <x:v>42667.0</x:v>
      </x:c>
      <x:c r="F17" s="2" t="str">
        <x:f t="shared" si="1">"1 in "&amp;E17</x:f>
        <x:v>1 in 42667</x:v>
      </x:c>
      <x:c r="G17" s="2" t="s">
        <x:v>131</x:v>
      </x:c>
      <x:c r="H17" s="2" t="str">
        <x:f>VLOOKUP(G17,'Pets'!$B$2:$E$107,2,FALSE)</x:f>
        <x:v>Hydra</x:v>
      </x:c>
      <x:c r="I17" s="5" t="n">
        <x:f>VLOOKUP(G17,'Pets'!$B$2:$E$107,4,FALSE)</x:f>
        <x:v>470</x:v>
      </x:c>
      <x:c r="J17" s="5">
        <x:v>2.0</x:v>
      </x:c>
      <x:c r="K17" s="5" t="n">
        <x:f t="shared" si="2">I17*60*J17</x:f>
        <x:v>56400</x:v>
      </x:c>
      <x:c r="L17" s="5">
        <x:v>50000.0</x:v>
      </x:c>
      <x:c r="M17" s="5" t="n">
        <x:f t="shared" si="3">L17-K17</x:f>
        <x:v>-6400</x:v>
      </x:c>
    </x:row>
    <x:row r="18">
      <x:c r="A18" s="2" t="s">
        <x:v>132</x:v>
      </x:c>
      <x:c r="B18" s="2" t="s">
        <x:v>133</x:v>
      </x:c>
      <x:c r="C18" s="2" t="s">
        <x:v>56</x:v>
      </x:c>
      <x:c r="D18" s="2" t="s">
        <x:v>134</x:v>
      </x:c>
      <x:c r="E18" s="5">
        <x:v>64000.0</x:v>
      </x:c>
      <x:c r="F18" s="2" t="str">
        <x:f t="shared" si="1">"1 in "&amp;E18</x:f>
        <x:v>1 in 64000</x:v>
      </x:c>
      <x:c r="G18" s="2" t="s">
        <x:v>135</x:v>
      </x:c>
      <x:c r="H18" s="2" t="str">
        <x:f>VLOOKUP(G18,'Pets'!$B$2:$E$107,2,FALSE)</x:f>
        <x:v>Gallimimus</x:v>
      </x:c>
      <x:c r="I18" s="5" t="n">
        <x:f>VLOOKUP(G18,'Pets'!$B$2:$E$107,4,FALSE)</x:f>
        <x:v>595</x:v>
      </x:c>
      <x:c r="J18" s="5">
        <x:v>2.0</x:v>
      </x:c>
      <x:c r="K18" s="5" t="n">
        <x:f t="shared" si="2">I18*60*J18</x:f>
        <x:v>71400</x:v>
      </x:c>
      <x:c r="L18" s="5">
        <x:v>70000.0</x:v>
      </x:c>
      <x:c r="M18" s="5" t="n">
        <x:f t="shared" si="3">L18-K18</x:f>
        <x:v>-1400</x:v>
      </x:c>
    </x:row>
    <x:row r="19">
      <x:c r="A19" s="2" t="s">
        <x:v>136</x:v>
      </x:c>
      <x:c r="B19" s="2" t="s">
        <x:v>137</x:v>
      </x:c>
      <x:c r="C19" s="2" t="s">
        <x:v>57</x:v>
      </x:c>
      <x:c r="D19" s="2" t="s">
        <x:v>134</x:v>
      </x:c>
      <x:c r="E19" s="5">
        <x:v>85333.0</x:v>
      </x:c>
      <x:c r="F19" s="2" t="str">
        <x:f t="shared" si="1">"1 in "&amp;E19</x:f>
        <x:v>1 in 85333</x:v>
      </x:c>
      <x:c r="G19" s="2" t="s">
        <x:v>138</x:v>
      </x:c>
      <x:c r="H19" s="2" t="str">
        <x:f>VLOOKUP(G19,'Pets'!$B$2:$E$107,2,FALSE)</x:f>
        <x:v>Spinosaurus</x:v>
      </x:c>
      <x:c r="I19" s="5" t="n">
        <x:f>VLOOKUP(G19,'Pets'!$B$2:$E$107,4,FALSE)</x:f>
        <x:v>745</x:v>
      </x:c>
      <x:c r="J19" s="5">
        <x:v>2.0</x:v>
      </x:c>
      <x:c r="K19" s="5" t="n">
        <x:f t="shared" si="2">I19*60*J19</x:f>
        <x:v>89400</x:v>
      </x:c>
      <x:c r="L19" s="5">
        <x:v>85000.0</x:v>
      </x:c>
      <x:c r="M19" s="5" t="n">
        <x:f t="shared" si="3">L19-K19</x:f>
        <x:v>-4400</x:v>
      </x:c>
    </x:row>
    <x:row r="20">
      <x:c r="A20" s="2" t="s">
        <x:v>139</x:v>
      </x:c>
      <x:c r="B20" s="2" t="s">
        <x:v>140</x:v>
      </x:c>
      <x:c r="C20" s="2" t="s">
        <x:v>58</x:v>
      </x:c>
      <x:c r="D20" s="2" t="s">
        <x:v>141</x:v>
      </x:c>
      <x:c r="E20" s="5">
        <x:v>1200000.0</x:v>
      </x:c>
      <x:c r="F20" s="2" t="str">
        <x:f t="shared" si="1">"1 in "&amp;E20</x:f>
        <x:v>1 in 1200000</x:v>
      </x:c>
      <x:c r="G20" s="2" t="s">
        <x:v>142</x:v>
      </x:c>
      <x:c r="H20" s="2" t="str">
        <x:f>VLOOKUP(G20,'Pets'!$B$2:$E$107,2,FALSE)</x:f>
        <x:v>Mammoth</x:v>
      </x:c>
      <x:c r="I20" s="5" t="n">
        <x:f>VLOOKUP(G20,'Pets'!$B$2:$E$107,4,FALSE)</x:f>
        <x:v>850</x:v>
      </x:c>
      <x:c r="J20" s="5">
        <x:v>2.0</x:v>
      </x:c>
      <x:c r="K20" s="5" t="n">
        <x:f t="shared" si="2">I20*60*J20</x:f>
        <x:v>102000</x:v>
      </x:c>
      <x:c r="L20" s="5">
        <x:v>100000.0</x:v>
      </x:c>
      <x:c r="M20" s="5" t="n">
        <x:f t="shared" si="3">L20-K20</x:f>
        <x:v>-2000</x:v>
      </x:c>
    </x:row>
    <x:row r="21" ht="15.75" customHeight="1">
      <x:c r="A21" s="2" t="s">
        <x:v>143</x:v>
      </x:c>
      <x:c r="B21" s="2" t="s">
        <x:v>144</x:v>
      </x:c>
      <x:c r="C21" s="2" t="s">
        <x:v>59</x:v>
      </x:c>
      <x:c r="D21" s="2" t="s">
        <x:v>141</x:v>
      </x:c>
      <x:c r="E21" s="5">
        <x:v>5120000.0</x:v>
      </x:c>
      <x:c r="F21" s="2" t="str">
        <x:f t="shared" si="1">"1 in "&amp;E21</x:f>
        <x:v>1 in 5120000</x:v>
      </x:c>
      <x:c r="G21" s="2" t="s">
        <x:v>145</x:v>
      </x:c>
      <x:c r="H21" s="2" t="str">
        <x:f>VLOOKUP(G21,'Pets'!$B$2:$E$107,2,FALSE)</x:f>
        <x:v>Unicorn</x:v>
      </x:c>
      <x:c r="I21" s="5" t="n">
        <x:f>VLOOKUP(G21,'Pets'!$B$2:$E$107,4,FALSE)</x:f>
        <x:v>1000</x:v>
      </x:c>
      <x:c r="J21" s="5">
        <x:v>2.0</x:v>
      </x:c>
      <x:c r="K21" s="5" t="n">
        <x:f t="shared" si="2">I21*60*J21</x:f>
        <x:v>120000</x:v>
      </x:c>
      <x:c r="L21" s="5">
        <x:v>120000.0</x:v>
      </x:c>
      <x:c r="M21" s="5" t="n">
        <x:f t="shared" si="3">L21-K21</x:f>
        <x:v>0</x:v>
      </x:c>
    </x:row>
    <x:row r="22" ht="15.75" customHeight="1">
      <x:c r="A22" t="str">
        <x:v>LegendarySeedPlaceholder</x:v>
      </x:c>
      <x:c r="B22" t="str">
        <x:v>[LEGENDARYSEEDHERE]</x:v>
      </x:c>
      <x:c r="C22" t="str">
        <x:v>LegendaryFeedPlaceholder</x:v>
      </x:c>
      <x:c r="D22" t="str">
        <x:v>Legendary</x:v>
      </x:c>
      <x:c r="E22" s="6" t="n">
        <x:v>250000</x:v>
      </x:c>
      <x:c r="F22" t="str">
        <x:f>"1 in "&amp;E22</x:f>
        <x:v>1 in 250000</x:v>
      </x:c>
      <x:c r="G22" t="str">
        <x:v>Pet54</x:v>
      </x:c>
      <x:c r="H22" t="str">
        <x:f>VLOOKUP(G22,'Pets'!$B$2:$E$107,2,FALSE)</x:f>
        <x:v>Golden Chicken</x:v>
      </x:c>
      <x:c r="I22" s="6" t="n">
        <x:f>VLOOKUP(G22,'Pets'!$B$2:$E$107,4,FALSE)</x:f>
        <x:v>1050</x:v>
      </x:c>
      <x:c r="J22" s="6" t="n">
        <x:f>'Assumptions'!$B$2</x:f>
        <x:v>3</x:v>
      </x:c>
      <x:c r="K22" s="6" t="n">
        <x:f>I22*60*J22</x:f>
        <x:v>189000</x:v>
      </x:c>
      <x:c r="L22" s="6" t="n">
        <x:v>190000</x:v>
      </x:c>
      <x:c r="M22" s="6" t="n">
        <x:f>L22-K22</x:f>
        <x:v>1000</x:v>
      </x:c>
    </x:row>
    <x:row r="23" ht="15.75" customHeight="1">
      <x:c r="A23" t="str">
        <x:v>MythicalSeedPlaceholder1</x:v>
      </x:c>
      <x:c r="B23" t="str">
        <x:v>[MYTHICSEEDHERE1]</x:v>
      </x:c>
      <x:c r="C23" t="str">
        <x:v>MythicalFeedPlaceholder1</x:v>
      </x:c>
      <x:c r="D23" t="str">
        <x:v>Mythical</x:v>
      </x:c>
      <x:c r="E23" s="6" t="n">
        <x:v>1000000</x:v>
      </x:c>
      <x:c r="F23" t="str">
        <x:f>"1 in "&amp;E23</x:f>
        <x:v>1 in 1000000</x:v>
      </x:c>
      <x:c r="G23" t="str">
        <x:v>Pet65</x:v>
      </x:c>
      <x:c r="H23" t="str">
        <x:f>VLOOKUP(G23,'Pets'!$B$2:$E$107,2,FALSE)</x:f>
        <x:v>Golden Bull</x:v>
      </x:c>
      <x:c r="I23" s="6" t="n">
        <x:f>VLOOKUP(G23,'Pets'!$B$2:$E$107,4,FALSE)</x:f>
        <x:v>1800</x:v>
      </x:c>
      <x:c r="J23" s="6" t="n">
        <x:f>'Assumptions'!$B$2</x:f>
        <x:v>3</x:v>
      </x:c>
      <x:c r="K23" s="6" t="n">
        <x:f>I23*60*J23</x:f>
        <x:v>324000</x:v>
      </x:c>
      <x:c r="L23" s="6" t="n">
        <x:v>325000</x:v>
      </x:c>
      <x:c r="M23" s="6" t="n">
        <x:f>L23-K23</x:f>
        <x:v>1000</x:v>
      </x:c>
    </x:row>
    <x:row r="24" ht="15.75" customHeight="1">
      <x:c r="A24" t="str">
        <x:v>MythicalSeedPlaceholder2</x:v>
      </x:c>
      <x:c r="B24" t="str">
        <x:v>[MYTHICSEEDHERE2]</x:v>
      </x:c>
      <x:c r="C24" t="str">
        <x:v>MythicalFeedPlaceholder2</x:v>
      </x:c>
      <x:c r="D24" t="str">
        <x:v>Mythical</x:v>
      </x:c>
      <x:c r="E24" s="6" t="n">
        <x:v>2500000</x:v>
      </x:c>
      <x:c r="F24" t="str">
        <x:f>"1 in "&amp;E24</x:f>
        <x:v>1 in 2500000</x:v>
      </x:c>
      <x:c r="G24" t="str">
        <x:v>Pet75</x:v>
      </x:c>
      <x:c r="H24" t="str">
        <x:f>VLOOKUP(G24,'Pets'!$B$2:$E$107,2,FALSE)</x:f>
        <x:v>Golden Crab</x:v>
      </x:c>
      <x:c r="I24" s="6" t="n">
        <x:f>VLOOKUP(G24,'Pets'!$B$2:$E$107,4,FALSE)</x:f>
        <x:v>2930</x:v>
      </x:c>
      <x:c r="J24" s="6" t="n">
        <x:f>'Assumptions'!$B$2</x:f>
        <x:v>3</x:v>
      </x:c>
      <x:c r="K24" s="6" t="n">
        <x:f>I24*60*J24</x:f>
        <x:v>527400</x:v>
      </x:c>
      <x:c r="L24" s="6" t="n">
        <x:v>525000</x:v>
      </x:c>
      <x:c r="M24" s="6" t="n">
        <x:f>L24-K24</x:f>
        <x:v>-2400</x:v>
      </x:c>
    </x:row>
    <x:row r="25" ht="15.75" customHeight="1">
      <x:c r="A25" t="str">
        <x:v>SecretSeedPlaceholder1</x:v>
      </x:c>
      <x:c r="B25" t="str">
        <x:v>[SECRETSEEDHERE1]</x:v>
      </x:c>
      <x:c r="C25" t="str">
        <x:v>SecretFeedPlaceholder1</x:v>
      </x:c>
      <x:c r="D25" t="str">
        <x:v>Secret</x:v>
      </x:c>
      <x:c r="E25" s="6" t="n">
        <x:v>10000000</x:v>
      </x:c>
      <x:c r="F25" t="str">
        <x:f>"1 in "&amp;E25</x:f>
        <x:v>1 in 10000000</x:v>
      </x:c>
      <x:c r="G25" t="str">
        <x:v>Pet86</x:v>
      </x:c>
      <x:c r="H25" t="str">
        <x:f>VLOOKUP(G25,'Pets'!$B$2:$E$107,2,FALSE)</x:f>
        <x:v>Golden Bear</x:v>
      </x:c>
      <x:c r="I25" s="6" t="n">
        <x:f>VLOOKUP(G25,'Pets'!$B$2:$E$107,4,FALSE)</x:f>
        <x:v>5000</x:v>
      </x:c>
      <x:c r="J25" s="6" t="n">
        <x:f>'Assumptions'!$B$2</x:f>
        <x:v>3</x:v>
      </x:c>
      <x:c r="K25" s="6" t="n">
        <x:f>I25*60*J25</x:f>
        <x:v>900000</x:v>
      </x:c>
      <x:c r="L25" s="6" t="n">
        <x:v>900000</x:v>
      </x:c>
      <x:c r="M25" s="6" t="n">
        <x:f>L25-K25</x:f>
        <x:v>0</x:v>
      </x:c>
    </x:row>
    <x:row r="26" ht="15.75" customHeight="1">
      <x:c r="A26" t="str">
        <x:v>SecretSeedPlaceholder2</x:v>
      </x:c>
      <x:c r="B26" t="str">
        <x:v>[SECRETSEEDHERE2]</x:v>
      </x:c>
      <x:c r="C26" t="str">
        <x:v>SecretFeedPlaceholder2</x:v>
      </x:c>
      <x:c r="D26" t="str">
        <x:v>Secret</x:v>
      </x:c>
      <x:c r="E26" s="6" t="n">
        <x:v>20000000</x:v>
      </x:c>
      <x:c r="F26" t="str">
        <x:f>"1 in "&amp;E26</x:f>
        <x:v>1 in 20000000</x:v>
      </x:c>
      <x:c r="G26" t="str">
        <x:v>Pet96</x:v>
      </x:c>
      <x:c r="H26" t="str">
        <x:f>VLOOKUP(G26,'Pets'!$B$2:$E$107,2,FALSE)</x:f>
        <x:v>Golden Ankylosaurus</x:v>
      </x:c>
      <x:c r="I26" s="6" t="n">
        <x:f>VLOOKUP(G26,'Pets'!$B$2:$E$107,4,FALSE)</x:f>
        <x:v>8150</x:v>
      </x:c>
      <x:c r="J26" s="6" t="n">
        <x:f>'Assumptions'!$B$2</x:f>
        <x:v>3</x:v>
      </x:c>
      <x:c r="K26" s="6" t="n">
        <x:f>I26*60*J26</x:f>
        <x:v>1467000</x:v>
      </x:c>
      <x:c r="L26" s="6" t="n">
        <x:v>1500000</x:v>
      </x:c>
      <x:c r="M26" s="6" t="n">
        <x:f>L26-K26</x:f>
        <x:v>33000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14" customWidth="1"/>
    <x:col min="3" max="3" width="18" customWidth="1"/>
    <x:col min="4" max="4" width="16" customWidth="1"/>
    <x:col min="5" max="5" width="18" customWidth="1"/>
    <x:col min="6" max="6" width="24" customWidth="1"/>
  </x:cols>
  <x:sheetData>
    <x:row r="1">
      <x:c r="A1" s="1" t="s">
        <x:v>146</x:v>
      </x:c>
      <x:c r="B1" s="1" t="s">
        <x:v>147</x:v>
      </x:c>
      <x:c r="C1" s="1" t="s">
        <x:v>148</x:v>
      </x:c>
      <x:c r="D1" s="1" t="s">
        <x:v>78</x:v>
      </x:c>
      <x:c r="E1" s="1" t="s">
        <x:v>149</x:v>
      </x:c>
      <x:c r="F1" s="1" t="s">
        <x:v>150</x:v>
      </x:c>
    </x:row>
    <x:row r="2">
      <x:c r="A2" s="2">
        <x:v>1.0</x:v>
      </x:c>
      <x:c r="B2" s="2" t="n">
        <x:f t="shared" ref="B2:B101" si="1">A2*5</x:f>
        <x:v>5</x:v>
      </x:c>
      <x:c r="C2" s="2" t="n">
        <x:f>Assumptions!$B$6*A2^2*(1+Assumptions!$B$7*(A2/100)^Assumptions!$B$8)</x:f>
        <x:v>35.00017708754897</x:v>
      </x:c>
      <x:c r="D2" s="2">
        <x:v>100.0</x:v>
      </x:c>
      <x:c r="E2" s="2" t="n">
        <x:f t="shared" ref="E2:E101" si="2">SUM($D$2:D2)</x:f>
        <x:v>100</x:v>
      </x:c>
      <x:c r="F2" s="2" t="n">
        <x:f>E2/Assumptions!$B$5/3600</x:f>
        <x:v>0.00002777777777777778</x:v>
      </x:c>
    </x:row>
    <x:row r="3">
      <x:c r="A3" s="2">
        <x:v>2.0</x:v>
      </x:c>
      <x:c r="B3" s="2">
        <x:f t="shared" si="1"/>
        <x:v>10</x:v>
      </x:c>
      <x:c r="C3" s="2" t="n">
        <x:f>Assumptions!$B$6*A3^2*(1+Assumptions!$B$7*(A3/100)^Assumptions!$B$8)</x:f>
        <x:v>140.0067390007428</x:v>
      </x:c>
      <x:c r="D3" s="2">
        <x:v>150.0</x:v>
      </x:c>
      <x:c r="E3" s="2">
        <x:f t="shared" si="2"/>
        <x:v>250</x:v>
      </x:c>
      <x:c r="F3" s="2" t="n">
        <x:f>E3/Assumptions!$B$5/3600</x:f>
        <x:v>0.00006944444444444444</x:v>
      </x:c>
    </x:row>
    <x:row r="4">
      <x:c r="A4" s="2">
        <x:v>3.0</x:v>
      </x:c>
      <x:c r="B4" s="2">
        <x:f t="shared" si="1"/>
        <x:v>15</x:v>
      </x:c>
      <x:c r="C4" s="2" t="n">
        <x:f>Assumptions!$B$6*A4^2*(1+Assumptions!$B$7*(A4/100)^Assumptions!$B$8)</x:f>
        <x:v>315.0566336580555</x:v>
      </x:c>
      <x:c r="D4" s="2">
        <x:v>300.0</x:v>
      </x:c>
      <x:c r="E4" s="2">
        <x:f t="shared" si="2"/>
        <x:v>550</x:v>
      </x:c>
      <x:c r="F4" s="2" t="n">
        <x:f>E4/Assumptions!$B$5/3600</x:f>
        <x:v>0.0001527777777777778</x:v>
      </x:c>
    </x:row>
    <x:row r="5">
      <x:c r="A5" s="2">
        <x:v>4.0</x:v>
      </x:c>
      <x:c r="B5" s="2">
        <x:f t="shared" si="1"/>
        <x:v>20</x:v>
      </x:c>
      <x:c r="C5" s="2" t="n">
        <x:f>Assumptions!$B$6*A5^2*(1+Assumptions!$B$7*(A5/100)^Assumptions!$B$8)</x:f>
        <x:v>560.2564501642036</x:v>
      </x:c>
      <x:c r="D5" s="2">
        <x:v>550.0</x:v>
      </x:c>
      <x:c r="E5" s="2">
        <x:f t="shared" si="2"/>
        <x:v>1100</x:v>
      </x:c>
      <x:c r="F5" s="2" t="n">
        <x:f>E5/Assumptions!$B$5/3600</x:f>
        <x:v>0.0003055555555555556</x:v>
      </x:c>
    </x:row>
    <x:row r="6">
      <x:c r="A6" s="2">
        <x:v>5.0</x:v>
      </x:c>
      <x:c r="B6" s="2">
        <x:f t="shared" si="1"/>
        <x:v>25</x:v>
      </x:c>
      <x:c r="C6" s="2" t="n">
        <x:f>Assumptions!$B$6*A6^2*(1+Assumptions!$B$7*(A6/100)^Assumptions!$B$8)</x:f>
        <x:v>875.8275239078777</x:v>
      </x:c>
      <x:c r="D6" s="2">
        <x:v>900.0</x:v>
      </x:c>
      <x:c r="E6" s="2">
        <x:f t="shared" si="2"/>
        <x:v>2000</x:v>
      </x:c>
      <x:c r="F6" s="2" t="n">
        <x:f>E6/Assumptions!$B$5/3600</x:f>
        <x:v>0.0005555555555555556</x:v>
      </x:c>
    </x:row>
    <x:row r="7">
      <x:c r="A7" s="2">
        <x:v>6.0</x:v>
      </x:c>
      <x:c r="B7" s="2">
        <x:f t="shared" si="1"/>
        <x:v>30</x:v>
      </x:c>
      <x:c r="C7" s="2" t="n">
        <x:f>Assumptions!$B$6*A7^2*(1+Assumptions!$B$7*(A7/100)^Assumptions!$B$8)</x:f>
        <x:v>1262.155172771464</x:v>
      </x:c>
      <x:c r="D7" s="2">
        <x:v>1250.0</x:v>
      </x:c>
      <x:c r="E7" s="2">
        <x:f t="shared" si="2"/>
        <x:v>3250</x:v>
      </x:c>
      <x:c r="F7" s="2" t="n">
        <x:f>E7/Assumptions!$B$5/3600</x:f>
        <x:v>0.0009027777777777777</x:v>
      </x:c>
    </x:row>
    <x:row r="8">
      <x:c r="A8" s="2">
        <x:v>7.0</x:v>
      </x:c>
      <x:c r="B8" s="2">
        <x:f t="shared" si="1"/>
        <x:v>35</x:v>
      </x:c>
      <x:c r="C8" s="2" t="n">
        <x:f>Assumptions!$B$6*A8^2*(1+Assumptions!$B$7*(A8/100)^Assumptions!$B$8)</x:f>
        <x:v>1719.8411967947682</x:v>
      </x:c>
      <x:c r="D8" s="2">
        <x:v>1750.0</x:v>
      </x:c>
      <x:c r="E8" s="2">
        <x:f t="shared" si="2"/>
        <x:v>5000</x:v>
      </x:c>
      <x:c r="F8" s="2" t="n">
        <x:f>E8/Assumptions!$B$5/3600</x:f>
        <x:v>0.001388888888888889</x:v>
      </x:c>
    </x:row>
    <x:row r="9">
      <x:c r="A9" s="2">
        <x:v>8.0</x:v>
      </x:c>
      <x:c r="B9" s="2">
        <x:f t="shared" si="1"/>
        <x:v>40</x:v>
      </x:c>
      <x:c r="C9" s="2" t="n">
        <x:f>Assumptions!$B$6*A9^2*(1+Assumptions!$B$7*(A9/100)^Assumptions!$B$8)</x:f>
        <x:v>2249.7591155172613</x:v>
      </x:c>
      <x:c r="D9" s="2">
        <x:v>2250.0</x:v>
      </x:c>
      <x:c r="E9" s="2">
        <x:f t="shared" si="2"/>
        <x:v>7250</x:v>
      </x:c>
      <x:c r="F9" s="2" t="n">
        <x:f>E9/Assumptions!$B$5/3600</x:f>
        <x:v>0.002013888888888889</x:v>
      </x:c>
    </x:row>
    <x:row r="10">
      <x:c r="A10" s="2">
        <x:v>9.0</x:v>
      </x:c>
      <x:c r="B10" s="2">
        <x:f t="shared" si="1"/>
        <x:v>45</x:v>
      </x:c>
      <x:c r="C10" s="2" t="n">
        <x:f>Assumptions!$B$6*A10^2*(1+Assumptions!$B$7*(A10/100)^Assumptions!$B$8)</x:f>
        <x:v>2853.1117828069487</x:v>
      </x:c>
      <x:c r="D10" s="2">
        <x:v>2750.0</x:v>
      </x:c>
      <x:c r="E10" s="2">
        <x:f t="shared" si="2"/>
        <x:v>10000</x:v>
      </x:c>
      <x:c r="F10" s="2" t="n">
        <x:f>E10/Assumptions!$B$5/3600</x:f>
        <x:v>0.002777777777777778</x:v>
      </x:c>
    </x:row>
    <x:row r="11">
      <x:c r="A11" s="2">
        <x:v>10.0</x:v>
      </x:c>
      <x:c r="B11" s="2">
        <x:f t="shared" si="1"/>
        <x:v>50</x:v>
      </x:c>
      <x:c r="C11" s="2" t="n">
        <x:f>Assumptions!$B$6*A11^2*(1+Assumptions!$B$7*(A11/100)^Assumptions!$B$8)</x:f>
        <x:v>3531.49111421066</x:v>
      </x:c>
      <x:c r="D11" s="2">
        <x:v>3500.0</x:v>
      </x:c>
      <x:c r="E11" s="2">
        <x:f t="shared" si="2"/>
        <x:v>13500</x:v>
      </x:c>
      <x:c r="F11" s="2" t="n">
        <x:f>E11/Assumptions!$B$5/3600</x:f>
        <x:v>0.00375</x:v>
      </x:c>
    </x:row>
    <x:row r="12">
      <x:c r="A12" s="2">
        <x:v>11.0</x:v>
      </x:c>
      <x:c r="B12" s="2">
        <x:f t="shared" si="1"/>
        <x:v>55</x:v>
      </x:c>
      <x:c r="C12" s="2" t="n">
        <x:f>Assumptions!$B$6*A12^2*(1+Assumptions!$B$7*(A12/100)^Assumptions!$B$8)</x:f>
        <x:v>4286.939722393115</x:v>
      </x:c>
      <x:c r="D12" s="2">
        <x:v>4250.0</x:v>
      </x:c>
      <x:c r="E12" s="2">
        <x:f t="shared" si="2"/>
        <x:v>17750</x:v>
      </x:c>
      <x:c r="F12" s="2" t="n">
        <x:f>E12/Assumptions!$B$5/3600</x:f>
        <x:v>0.004930555555555555</x:v>
      </x:c>
    </x:row>
    <x:row r="13">
      <x:c r="A13" s="2">
        <x:v>12.0</x:v>
      </x:c>
      <x:c r="B13" s="2">
        <x:f t="shared" si="1"/>
        <x:v>60</x:v>
      </x:c>
      <x:c r="C13" s="2" t="n">
        <x:f>Assumptions!$B$6*A13^2*(1+Assumptions!$B$7*(A13/100)^Assumptions!$B$8)</x:f>
        <x:v>5122.014297404326</x:v>
      </x:c>
      <x:c r="D13" s="2">
        <x:v>5000.0</x:v>
      </x:c>
      <x:c r="E13" s="2">
        <x:f t="shared" si="2"/>
        <x:v>22750</x:v>
      </x:c>
      <x:c r="F13" s="2" t="n">
        <x:f>E13/Assumptions!$B$5/3600</x:f>
        <x:v>0.006319444444444444</x:v>
      </x:c>
    </x:row>
    <x:row r="14">
      <x:c r="A14" s="2">
        <x:v>13.0</x:v>
      </x:c>
      <x:c r="B14" s="2">
        <x:f t="shared" si="1"/>
        <x:v>65</x:v>
      </x:c>
      <x:c r="C14" s="2" t="n">
        <x:f>Assumptions!$B$6*A14^2*(1+Assumptions!$B$7*(A14/100)^Assumptions!$B$8)</x:f>
        <x:v>6039.850597934947</x:v>
      </x:c>
      <x:c r="D14" s="2">
        <x:v>6000.0</x:v>
      </x:c>
      <x:c r="E14" s="2">
        <x:f t="shared" si="2"/>
        <x:v>28750</x:v>
      </x:c>
      <x:c r="F14" s="2" t="n">
        <x:f>E14/Assumptions!$B$5/3600</x:f>
        <x:v>0.00798611111111111</x:v>
      </x:c>
    </x:row>
    <x:row r="15">
      <x:c r="A15" s="2">
        <x:v>14.0</x:v>
      </x:c>
      <x:c r="B15" s="2">
        <x:f t="shared" si="1"/>
        <x:v>70</x:v>
      </x:c>
      <x:c r="C15" s="2" t="n">
        <x:f>Assumptions!$B$6*A15^2*(1+Assumptions!$B$7*(A15/100)^Assumptions!$B$8)</x:f>
        <x:v>7044.229941550939</x:v>
      </x:c>
      <x:c r="D15" s="2">
        <x:v>7000.0</x:v>
      </x:c>
      <x:c r="E15" s="2">
        <x:f t="shared" si="2"/>
        <x:v>35750</x:v>
      </x:c>
      <x:c r="F15" s="2" t="n">
        <x:f>E15/Assumptions!$B$5/3600</x:f>
        <x:v>0.009930555555555555</x:v>
      </x:c>
    </x:row>
    <x:row r="16">
      <x:c r="A16" s="2">
        <x:v>15.0</x:v>
      </x:c>
      <x:c r="B16" s="2">
        <x:f t="shared" si="1"/>
        <x:v>75</x:v>
      </x:c>
      <x:c r="C16" s="2" t="n">
        <x:f>Assumptions!$B$6*A16^2*(1+Assumptions!$B$7*(A16/100)^Assumptions!$B$8)</x:f>
        <x:v>8139.647098591925</x:v>
      </x:c>
      <x:c r="D16" s="2">
        <x:v>8250.0</x:v>
      </x:c>
      <x:c r="E16" s="2">
        <x:f t="shared" si="2"/>
        <x:v>44000</x:v>
      </x:c>
      <x:c r="F16" s="2" t="n">
        <x:f>E16/Assumptions!$B$5/3600</x:f>
        <x:v>0.012222222222222223</x:v>
      </x:c>
    </x:row>
    <x:row r="17">
      <x:c r="A17" s="2">
        <x:v>16.0</x:v>
      </x:c>
      <x:c r="B17" s="2">
        <x:f t="shared" si="1"/>
        <x:v>80</x:v>
      </x:c>
      <x:c r="C17" s="2" t="n">
        <x:f>Assumptions!$B$6*A17^2*(1+Assumptions!$B$7*(A17/100)^Assumptions!$B$8)</x:f>
        <x:v>9331.379507496338</x:v>
      </x:c>
      <x:c r="D17" s="2">
        <x:v>9250.0</x:v>
      </x:c>
      <x:c r="E17" s="2">
        <x:f t="shared" si="2"/>
        <x:v>53250</x:v>
      </x:c>
      <x:c r="F17" s="2" t="n">
        <x:f>E17/Assumptions!$B$5/3600</x:f>
        <x:v>0.014791666666666667</x:v>
      </x:c>
    </x:row>
    <x:row r="18">
      <x:c r="A18" s="2">
        <x:v>17.0</x:v>
      </x:c>
      <x:c r="B18" s="2">
        <x:f t="shared" si="1"/>
        <x:v>85</x:v>
      </x:c>
      <x:c r="C18" s="2" t="n">
        <x:f>Assumptions!$B$6*A18^2*(1+Assumptions!$B$7*(A18/100)^Assumptions!$B$8)</x:f>
        <x:v>10625.557739772783</x:v>
      </x:c>
      <x:c r="D18" s="2">
        <x:v>11000.0</x:v>
      </x:c>
      <x:c r="E18" s="2">
        <x:f t="shared" si="2"/>
        <x:v>64250</x:v>
      </x:c>
      <x:c r="F18" s="2" t="n">
        <x:f>E18/Assumptions!$B$5/3600</x:f>
        <x:v>0.017847222222222223</x:v>
      </x:c>
    </x:row>
    <x:row r="19">
      <x:c r="A19" s="2">
        <x:v>18.0</x:v>
      </x:c>
      <x:c r="B19" s="2">
        <x:f t="shared" si="1"/>
        <x:v>90</x:v>
      </x:c>
      <x:c r="C19" s="2" t="n">
        <x:f>Assumptions!$B$6*A19^2*(1+Assumptions!$B$7*(A19/100)^Assumptions!$B$8)</x:f>
        <x:v>12029.237151341033</x:v>
      </x:c>
      <x:c r="D19" s="2">
        <x:v>12000.0</x:v>
      </x:c>
      <x:c r="E19" s="2">
        <x:f t="shared" si="2"/>
        <x:v>76250</x:v>
      </x:c>
      <x:c r="F19" s="2" t="n">
        <x:f>E19/Assumptions!$B$5/3600</x:f>
        <x:v>0.021180555555555557</x:v>
      </x:c>
    </x:row>
    <x:row r="20">
      <x:c r="A20" s="2">
        <x:v>19.0</x:v>
      </x:c>
      <x:c r="B20" s="2">
        <x:f t="shared" si="1"/>
        <x:v>95</x:v>
      </x:c>
      <x:c r="C20" s="2" t="n">
        <x:f>Assumptions!$B$6*A20^2*(1+Assumptions!$B$7*(A20/100)^Assumptions!$B$8)</x:f>
        <x:v>13550.470663984002</x:v>
      </x:c>
      <x:c r="D20" s="2">
        <x:v>14000.0</x:v>
      </x:c>
      <x:c r="E20" s="2">
        <x:f t="shared" si="2"/>
        <x:v>90250</x:v>
      </x:c>
      <x:c r="F20" s="2" t="n">
        <x:f>E20/Assumptions!$B$5/3600</x:f>
        <x:v>0.025069444444444443</x:v>
      </x:c>
    </x:row>
    <x:row r="21" ht="15.75" customHeight="1">
      <x:c r="A21" s="2">
        <x:v>20.0</x:v>
      </x:c>
      <x:c r="B21" s="2">
        <x:f t="shared" si="1"/>
        <x:v>100</x:v>
      </x:c>
      <x:c r="C21" s="2" t="n">
        <x:f>Assumptions!$B$6*A21^2*(1+Assumptions!$B$7*(A21/100)^Assumptions!$B$8)</x:f>
        <x:v>15198.382626517749</x:v>
      </x:c>
      <x:c r="D21" s="2">
        <x:v>15000.0</x:v>
      </x:c>
      <x:c r="E21" s="2">
        <x:f t="shared" si="2"/>
        <x:v>105250</x:v>
      </x:c>
      <x:c r="F21" s="2" t="n">
        <x:f>E21/Assumptions!$B$5/3600</x:f>
        <x:v>0.029236111111111112</x:v>
      </x:c>
    </x:row>
    <x:row r="22" ht="15.75" customHeight="1">
      <x:c r="A22" s="2">
        <x:v>21.0</x:v>
      </x:c>
      <x:c r="B22" s="2">
        <x:f t="shared" si="1"/>
        <x:v>105</x:v>
      </x:c>
      <x:c r="C22" s="2" t="n">
        <x:f>Assumptions!$B$6*A22^2*(1+Assumptions!$B$7*(A22/100)^Assumptions!$B$8)</x:f>
        <x:v>16983.243710243587</x:v>
      </x:c>
      <x:c r="D22" s="2">
        <x:v>17000.0</x:v>
      </x:c>
      <x:c r="E22" s="2">
        <x:f t="shared" si="2"/>
        <x:v>122250</x:v>
      </x:c>
      <x:c r="F22" s="2" t="n">
        <x:f>E22/Assumptions!$B$5/3600</x:f>
        <x:v>0.03395833333333333</x:v>
      </x:c>
    </x:row>
    <x:row r="23" ht="15.75" customHeight="1">
      <x:c r="A23" s="2">
        <x:v>22.0</x:v>
      </x:c>
      <x:c r="B23" s="2">
        <x:f t="shared" si="1"/>
        <x:v>110</x:v>
      </x:c>
      <x:c r="C23" s="2" t="n">
        <x:f>Assumptions!$B$6*A23^2*(1+Assumptions!$B$7*(A23/100)^Assumptions!$B$8)</x:f>
        <x:v>18916.54679747707</x:v>
      </x:c>
      <x:c r="D23" s="2">
        <x:v>19000.0</x:v>
      </x:c>
      <x:c r="E23" s="2">
        <x:f t="shared" si="2"/>
        <x:v>141250</x:v>
      </x:c>
      <x:c r="F23" s="2" t="n">
        <x:f>E23/Assumptions!$B$5/3600</x:f>
        <x:v>0.03923611111111111</x:v>
      </x:c>
    </x:row>
    <x:row r="24" ht="15.75" customHeight="1">
      <x:c r="A24" s="2">
        <x:v>23.0</x:v>
      </x:c>
      <x:c r="B24" s="2">
        <x:f t="shared" si="1"/>
        <x:v>115</x:v>
      </x:c>
      <x:c r="C24" s="2" t="n">
        <x:f>Assumptions!$B$6*A24^2*(1+Assumptions!$B$7*(A24/100)^Assumptions!$B$8)</x:f>
        <x:v>21011.08382559048</x:v>
      </x:c>
      <x:c r="D24" s="2">
        <x:v>21000.0</x:v>
      </x:c>
      <x:c r="E24" s="2">
        <x:f t="shared" si="2"/>
        <x:v>162250</x:v>
      </x:c>
      <x:c r="F24" s="2" t="n">
        <x:f>E24/Assumptions!$B$5/3600</x:f>
        <x:v>0.04506944444444445</x:v>
      </x:c>
    </x:row>
    <x:row r="25" ht="15.75" customHeight="1">
      <x:c r="A25" s="2">
        <x:v>24.0</x:v>
      </x:c>
      <x:c r="B25" s="2">
        <x:f t="shared" si="1"/>
        <x:v>120</x:v>
      </x:c>
      <x:c r="C25" s="2" t="n">
        <x:f>Assumptions!$B$6*A25^2*(1+Assumptions!$B$7*(A25/100)^Assumptions!$B$8)</x:f>
        <x:v>23281.02355216555</x:v>
      </x:c>
      <x:c r="D25" s="2">
        <x:v>23000.0</x:v>
      </x:c>
      <x:c r="E25" s="2">
        <x:f t="shared" si="2"/>
        <x:v>185250</x:v>
      </x:c>
      <x:c r="F25" s="2" t="n">
        <x:f>E25/Assumptions!$B$5/3600</x:f>
        <x:v>0.051458333333333335</x:v>
      </x:c>
    </x:row>
    <x:row r="26" ht="15.75" customHeight="1">
      <x:c r="A26" s="2">
        <x:v>25.0</x:v>
      </x:c>
      <x:c r="B26" s="2">
        <x:f t="shared" si="1"/>
        <x:v>125</x:v>
      </x:c>
      <x:c r="C26" s="2" t="n">
        <x:f>Assumptions!$B$6*A26^2*(1+Assumptions!$B$7*(A26/100)^Assumptions!$B$8)</x:f>
        <x:v>25741.990209613934</x:v>
      </x:c>
      <x:c r="D26" s="2">
        <x:v>26000.0</x:v>
      </x:c>
      <x:c r="E26" s="2">
        <x:f t="shared" si="2"/>
        <x:v>211250</x:v>
      </x:c>
      <x:c r="F26" s="2" t="n">
        <x:f>E26/Assumptions!$B$5/3600</x:f>
        <x:v>0.058680555555555555</x:v>
      </x:c>
    </x:row>
    <x:row r="27" ht="15.75" customHeight="1">
      <x:c r="A27" s="2">
        <x:v>26.0</x:v>
      </x:c>
      <x:c r="B27" s="2">
        <x:f t="shared" si="1"/>
        <x:v>130</x:v>
      </x:c>
      <x:c r="C27" s="2" t="n">
        <x:f>Assumptions!$B$6*A27^2*(1+Assumptions!$B$7*(A27/100)^Assumptions!$B$8)</x:f>
        <x:v>28411.143020050673</x:v>
      </x:c>
      <x:c r="D27" s="2">
        <x:v>28000.0</x:v>
      </x:c>
      <x:c r="E27" s="2">
        <x:f t="shared" si="2"/>
        <x:v>239250</x:v>
      </x:c>
      <x:c r="F27" s="2" t="n">
        <x:f>E27/Assumptions!$B$5/3600</x:f>
        <x:v>0.06645833333333333</x:v>
      </x:c>
    </x:row>
    <x:row r="28" ht="15.75" customHeight="1">
      <x:c r="A28" s="2">
        <x:v>27.0</x:v>
      </x:c>
      <x:c r="B28" s="2">
        <x:f t="shared" si="1"/>
        <x:v>135</x:v>
      </x:c>
      <x:c r="C28" s="2" t="n">
        <x:f>Assumptions!$B$6*A28^2*(1+Assumptions!$B$7*(A28/100)^Assumptions!$B$8)</x:f>
        <x:v>31307.256543352956</x:v>
      </x:c>
      <x:c r="D28" s="2">
        <x:v>31000.0</x:v>
      </x:c>
      <x:c r="E28" s="2">
        <x:f t="shared" si="2"/>
        <x:v>270250</x:v>
      </x:c>
      <x:c r="F28" s="2" t="n">
        <x:f>E28/Assumptions!$B$5/3600</x:f>
        <x:v>0.07506944444444444</x:v>
      </x:c>
    </x:row>
    <x:row r="29" ht="15.75" customHeight="1">
      <x:c r="A29" s="2">
        <x:v>28.0</x:v>
      </x:c>
      <x:c r="B29" s="2">
        <x:f t="shared" si="1"/>
        <x:v>140</x:v>
      </x:c>
      <x:c r="C29" s="2" t="n">
        <x:f>Assumptions!$B$6*A29^2*(1+Assumptions!$B$7*(A29/100)^Assumptions!$B$8)</x:f>
        <x:v>34450.801833245205</x:v>
      </x:c>
      <x:c r="D29" s="2">
        <x:v>34000.0</x:v>
      </x:c>
      <x:c r="E29" s="2">
        <x:f t="shared" si="2"/>
        <x:v>304250</x:v>
      </x:c>
      <x:c r="F29" s="2" t="n">
        <x:f>E29/Assumptions!$B$5/3600</x:f>
        <x:v>0.08451388888888889</x:v>
      </x:c>
    </x:row>
    <x:row r="30" ht="15.75" customHeight="1">
      <x:c r="A30" s="2">
        <x:v>29.0</x:v>
      </x:c>
      <x:c r="B30" s="2">
        <x:f t="shared" si="1"/>
        <x:v>145</x:v>
      </x:c>
      <x:c r="C30" s="2" t="n">
        <x:f>Assumptions!$B$6*A30^2*(1+Assumptions!$B$7*(A30/100)^Assumptions!$B$8)</x:f>
        <x:v>37864.028377957045</x:v>
      </x:c>
      <x:c r="D30" s="2">
        <x:v>38000.0</x:v>
      </x:c>
      <x:c r="E30" s="2">
        <x:f t="shared" si="2"/>
        <x:v>342250</x:v>
      </x:c>
      <x:c r="F30" s="2" t="n">
        <x:f>E30/Assumptions!$B$5/3600</x:f>
        <x:v>0.09506944444444444</x:v>
      </x:c>
    </x:row>
    <x:row r="31" ht="15.75" customHeight="1">
      <x:c r="A31" s="2">
        <x:v>30.0</x:v>
      </x:c>
      <x:c r="B31" s="2">
        <x:f t="shared" si="1"/>
        <x:v>150</x:v>
      </x:c>
      <x:c r="C31" s="2" t="n">
        <x:f>Assumptions!$B$6*A31^2*(1+Assumptions!$B$7*(A31/100)^Assumptions!$B$8)</x:f>
        <x:v>41571.04680353102</x:v>
      </x:c>
      <x:c r="D31" s="2">
        <x:v>42000.0</x:v>
      </x:c>
      <x:c r="E31" s="2">
        <x:f t="shared" si="2"/>
        <x:v>384250</x:v>
      </x:c>
      <x:c r="F31" s="2" t="n">
        <x:f>E31/Assumptions!$B$5/3600</x:f>
        <x:v>0.10673611111111111</x:v>
      </x:c>
    </x:row>
    <x:row r="32" ht="15.75" customHeight="1">
      <x:c r="A32" s="2">
        <x:v>31.0</x:v>
      </x:c>
      <x:c r="B32" s="2">
        <x:f t="shared" si="1"/>
        <x:v>155</x:v>
      </x:c>
      <x:c r="C32" s="2" t="n">
        <x:f>Assumptions!$B$6*A32^2*(1+Assumptions!$B$7*(A32/100)^Assumptions!$B$8)</x:f>
        <x:v>45597.912319235635</x:v>
      </x:c>
      <x:c r="D32" s="2">
        <x:v>46000.0</x:v>
      </x:c>
      <x:c r="E32" s="2">
        <x:f t="shared" si="2"/>
        <x:v>430250</x:v>
      </x:c>
      <x:c r="F32" s="2" t="n">
        <x:f>E32/Assumptions!$B$5/3600</x:f>
        <x:v>0.11951388888888889</x:v>
      </x:c>
    </x:row>
    <x:row r="33" ht="15.75" customHeight="1">
      <x:c r="A33" s="2">
        <x:v>32.0</x:v>
      </x:c>
      <x:c r="B33" s="2">
        <x:f t="shared" si="1"/>
        <x:v>160</x:v>
      </x:c>
      <x:c r="C33" s="2" t="n">
        <x:f>Assumptions!$B$6*A33^2*(1+Assumptions!$B$7*(A33/100)^Assumptions!$B$8)</x:f>
        <x:v>49972.70888578719</x:v>
      </x:c>
      <x:c r="D33" s="2">
        <x:v>50000.0</x:v>
      </x:c>
      <x:c r="E33" s="2">
        <x:f t="shared" si="2"/>
        <x:v>480250</x:v>
      </x:c>
      <x:c r="F33" s="2" t="n">
        <x:f>E33/Assumptions!$B$5/3600</x:f>
        <x:v>0.1334027777777778</x:v>
      </x:c>
    </x:row>
    <x:row r="34" ht="15.75" customHeight="1">
      <x:c r="A34" s="2">
        <x:v>33.0</x:v>
      </x:c>
      <x:c r="B34" s="2">
        <x:f t="shared" si="1"/>
        <x:v>165</x:v>
      </x:c>
      <x:c r="C34" s="2" t="n">
        <x:f>Assumptions!$B$6*A34^2*(1+Assumptions!$B$7*(A34/100)^Assumptions!$B$8)</x:f>
        <x:v>54725.634088215484</x:v>
      </x:c>
      <x:c r="D34" s="2">
        <x:v>55000.0</x:v>
      </x:c>
      <x:c r="E34" s="2">
        <x:f t="shared" si="2"/>
        <x:v>535250</x:v>
      </x:c>
      <x:c r="F34" s="2" t="n">
        <x:f>E34/Assumptions!$B$5/3600</x:f>
        <x:v>0.14868055555555557</x:v>
      </x:c>
    </x:row>
    <x:row r="35" ht="15.75" customHeight="1">
      <x:c r="A35" s="2">
        <x:v>34.0</x:v>
      </x:c>
      <x:c r="B35" s="2">
        <x:f t="shared" si="1"/>
        <x:v>170</x:v>
      </x:c>
      <x:c r="C35" s="2" t="n">
        <x:f>Assumptions!$B$6*A35^2*(1+Assumptions!$B$7*(A35/100)^Assumptions!$B$8)</x:f>
        <x:v>59889.08469624001</x:v>
      </x:c>
      <x:c r="D35" s="2">
        <x:v>60000.0</x:v>
      </x:c>
      <x:c r="E35" s="2">
        <x:f t="shared" si="2"/>
        <x:v>595250</x:v>
      </x:c>
      <x:c r="F35" s="2" t="n">
        <x:f>E35/Assumptions!$B$5/3600</x:f>
        <x:v>0.16534722222222223</x:v>
      </x:c>
    </x:row>
    <x:row r="36" ht="15.75" customHeight="1">
      <x:c r="A36" s="2">
        <x:v>35.0</x:v>
      </x:c>
      <x:c r="B36" s="2">
        <x:f t="shared" si="1"/>
        <x:v>175</x:v>
      </x:c>
      <x:c r="C36" s="2" t="n">
        <x:f>Assumptions!$B$6*A36^2*(1+Assumptions!$B$7*(A36/100)^Assumptions!$B$8)</x:f>
        <x:v>65497.74289596527</x:v>
      </x:c>
      <x:c r="D36" s="2">
        <x:v>65000.0</x:v>
      </x:c>
      <x:c r="E36" s="2">
        <x:f t="shared" si="2"/>
        <x:v>660250</x:v>
      </x:c>
      <x:c r="F36" s="2" t="n">
        <x:f>E36/Assumptions!$B$5/3600</x:f>
        <x:v>0.18340277777777778</x:v>
      </x:c>
    </x:row>
    <x:row r="37" ht="15.75" customHeight="1">
      <x:c r="A37" s="2">
        <x:v>36.0</x:v>
      </x:c>
      <x:c r="B37" s="2">
        <x:f t="shared" si="1"/>
        <x:v>180</x:v>
      </x:c>
      <x:c r="C37" s="2" t="n">
        <x:f>Assumptions!$B$6*A37^2*(1+Assumptions!$B$7*(A37/100)^Assumptions!$B$8)</x:f>
        <x:v>71588.6631775668</x:v>
      </x:c>
      <x:c r="D37" s="2">
        <x:v>72000.0</x:v>
      </x:c>
      <x:c r="E37" s="2">
        <x:f t="shared" si="2"/>
        <x:v>732250</x:v>
      </x:c>
      <x:c r="F37" s="2" t="n">
        <x:f>E37/Assumptions!$B$5/3600</x:f>
        <x:v>0.20340277777777777</x:v>
      </x:c>
    </x:row>
    <x:row r="38" ht="15.75" customHeight="1">
      <x:c r="A38" s="2">
        <x:v>37.0</x:v>
      </x:c>
      <x:c r="B38" s="2">
        <x:f t="shared" si="1"/>
        <x:v>185</x:v>
      </x:c>
      <x:c r="C38" s="2" t="n">
        <x:f>Assumptions!$B$6*A38^2*(1+Assumptions!$B$7*(A38/100)^Assumptions!$B$8)</x:f>
        <x:v>78201.35986443241</x:v>
      </x:c>
      <x:c r="D38" s="2">
        <x:v>78000.0</x:v>
      </x:c>
      <x:c r="E38" s="2">
        <x:f t="shared" si="2"/>
        <x:v>810250</x:v>
      </x:c>
      <x:c r="F38" s="2" t="n">
        <x:f>E38/Assumptions!$B$5/3600</x:f>
        <x:v>0.22506944444444443</x:v>
      </x:c>
    </x:row>
    <x:row r="39" ht="15.75" customHeight="1">
      <x:c r="A39" s="2">
        <x:v>38.0</x:v>
      </x:c>
      <x:c r="B39" s="2">
        <x:f t="shared" si="1"/>
        <x:v>190</x:v>
      </x:c>
      <x:c r="C39" s="2" t="n">
        <x:f>Assumptions!$B$6*A39^2*(1+Assumptions!$B$7*(A39/100)^Assumptions!$B$8)</x:f>
        <x:v>85377.89526995335</x:v>
      </x:c>
      <x:c r="D39" s="2">
        <x:v>85000.0</x:v>
      </x:c>
      <x:c r="E39" s="2">
        <x:f t="shared" si="2"/>
        <x:v>895250</x:v>
      </x:c>
      <x:c r="F39" s="2" t="n">
        <x:f>E39/Assumptions!$B$5/3600</x:f>
        <x:v>0.24868055555555554</x:v>
      </x:c>
    </x:row>
    <x:row r="40" ht="15.75" customHeight="1">
      <x:c r="A40" s="2">
        <x:v>39.0</x:v>
      </x:c>
      <x:c r="B40" s="2">
        <x:f t="shared" si="1"/>
        <x:v>195</x:v>
      </x:c>
      <x:c r="C40" s="2" t="n">
        <x:f>Assumptions!$B$6*A40^2*(1+Assumptions!$B$7*(A40/100)^Assumptions!$B$8)</x:f>
        <x:v>93162.96846883478</x:v>
      </x:c>
      <x:c r="D40" s="2">
        <x:v>93000.0</x:v>
      </x:c>
      <x:c r="E40" s="2">
        <x:f t="shared" si="2"/>
        <x:v>988250</x:v>
      </x:c>
      <x:c r="F40" s="2" t="n">
        <x:f>E40/Assumptions!$B$5/3600</x:f>
        <x:v>0.2745138888888889</x:v>
      </x:c>
    </x:row>
    <x:row r="41" ht="15.75" customHeight="1">
      <x:c r="A41" s="2">
        <x:v>40.0</x:v>
      </x:c>
      <x:c r="B41" s="2">
        <x:f t="shared" si="1"/>
        <x:v>200</x:v>
      </x:c>
      <x:c r="C41" s="2" t="n">
        <x:f>Assumptions!$B$6*A41^2*(1+Assumptions!$B$7*(A41/100)^Assumptions!$B$8)</x:f>
        <x:v>101604.00467041777</x:v>
      </x:c>
      <x:c r="D41" s="2">
        <x:v>100000.0</x:v>
      </x:c>
      <x:c r="E41" s="2">
        <x:f t="shared" si="2"/>
        <x:v>1088250</x:v>
      </x:c>
      <x:c r="F41" s="2" t="n">
        <x:f>E41/Assumptions!$B$5/3600</x:f>
        <x:v>0.3022916666666667</x:v>
      </x:c>
    </x:row>
    <x:row r="42" ht="15.75" customHeight="1">
      <x:c r="A42" s="2">
        <x:v>41.0</x:v>
      </x:c>
      <x:c r="B42" s="2">
        <x:f t="shared" si="1"/>
        <x:v>205</x:v>
      </x:c>
      <x:c r="C42" s="2" t="n">
        <x:f>Assumptions!$B$6*A42^2*(1+Assumptions!$B$7*(A42/100)^Assumptions!$B$8)</x:f>
        <x:v>110751.24518208463</x:v>
      </x:c>
      <x:c r="D42" s="2">
        <x:v>110000.0</x:v>
      </x:c>
      <x:c r="E42" s="2">
        <x:f t="shared" si="2"/>
        <x:v>1198250</x:v>
      </x:c>
      <x:c r="F42" s="2" t="n">
        <x:f>E42/Assumptions!$B$5/3600</x:f>
        <x:v>0.33284722222222224</x:v>
      </x:c>
    </x:row>
    <x:row r="43" ht="15.75" customHeight="1">
      <x:c r="A43" s="2">
        <x:v>42.0</x:v>
      </x:c>
      <x:c r="B43" s="2">
        <x:f t="shared" si="1"/>
        <x:v>210</x:v>
      </x:c>
      <x:c r="C43" s="2" t="n">
        <x:f>Assumptions!$B$6*A43^2*(1+Assumptions!$B$7*(A43/100)^Assumptions!$B$8)</x:f>
        <x:v>120657.83795135634</x:v>
      </x:c>
      <x:c r="D43" s="2">
        <x:v>120000.0</x:v>
      </x:c>
      <x:c r="E43" s="2">
        <x:f t="shared" si="2"/>
        <x:v>1318250</x:v>
      </x:c>
      <x:c r="F43" s="2" t="n">
        <x:f>E43/Assumptions!$B$5/3600</x:f>
        <x:v>0.36618055555555556</x:v>
      </x:c>
    </x:row>
    <x:row r="44" ht="15.75" customHeight="1">
      <x:c r="A44" s="2">
        <x:v>43.0</x:v>
      </x:c>
      <x:c r="B44" s="2">
        <x:f t="shared" si="1"/>
        <x:v>215</x:v>
      </x:c>
      <x:c r="C44" s="2" t="n">
        <x:f>Assumptions!$B$6*A44^2*(1+Assumptions!$B$7*(A44/100)^Assumptions!$B$8)</x:f>
        <x:v>131379.92867579075</x:v>
      </x:c>
      <x:c r="D44" s="2">
        <x:v>130000.0</x:v>
      </x:c>
      <x:c r="E44" s="2">
        <x:f t="shared" si="2"/>
        <x:v>1448250</x:v>
      </x:c>
      <x:c r="F44" s="2" t="n">
        <x:f>E44/Assumptions!$B$5/3600</x:f>
        <x:v>0.40229166666666666</x:v>
      </x:c>
    </x:row>
    <x:row r="45" ht="15.75" customHeight="1">
      <x:c r="A45" s="2">
        <x:v>44.0</x:v>
      </x:c>
      <x:c r="B45" s="2">
        <x:f t="shared" si="1"/>
        <x:v>220</x:v>
      </x:c>
      <x:c r="C45" s="2" t="n">
        <x:f>Assumptions!$B$6*A45^2*(1+Assumptions!$B$7*(A45/100)^Assumptions!$B$8)</x:f>
        <x:v>142976.75247025836</x:v>
      </x:c>
      <x:c r="D45" s="2">
        <x:v>140000.0</x:v>
      </x:c>
      <x:c r="E45" s="2">
        <x:f t="shared" si="2"/>
        <x:v>1588250</x:v>
      </x:c>
      <x:c r="F45" s="2" t="n">
        <x:f>E45/Assumptions!$B$5/3600</x:f>
        <x:v>0.4411805555555556</x:v>
      </x:c>
    </x:row>
    <x:row r="46" ht="15.75" customHeight="1">
      <x:c r="A46" s="2">
        <x:v>45.0</x:v>
      </x:c>
      <x:c r="B46" s="2">
        <x:f t="shared" si="1"/>
        <x:v>225</x:v>
      </x:c>
      <x:c r="C46" s="2" t="n">
        <x:f>Assumptions!$B$6*A46^2*(1+Assumptions!$B$7*(A46/100)^Assumptions!$B$8)</x:f>
        <x:v>155510.72608160655</x:v>
      </x:c>
      <x:c r="D46" s="2">
        <x:v>160000.0</x:v>
      </x:c>
      <x:c r="E46" s="2">
        <x:f t="shared" si="2"/>
        <x:v>1748250</x:v>
      </x:c>
      <x:c r="F46" s="2" t="n">
        <x:f>E46/Assumptions!$B$5/3600</x:f>
        <x:v>0.485625</x:v>
      </x:c>
    </x:row>
    <x:row r="47" ht="15.75" customHeight="1">
      <x:c r="A47" s="2">
        <x:v>46.0</x:v>
      </x:c>
      <x:c r="B47" s="2">
        <x:f t="shared" si="1"/>
        <x:v>230</x:v>
      </x:c>
      <x:c r="C47" s="2" t="n">
        <x:f>Assumptions!$B$6*A47^2*(1+Assumptions!$B$7*(A47/100)^Assumptions!$B$8)</x:f>
        <x:v>169047.54064113312</x:v>
      </x:c>
      <x:c r="D47" s="2">
        <x:v>170000.0</x:v>
      </x:c>
      <x:c r="E47" s="2">
        <x:f t="shared" si="2"/>
        <x:v>1918250</x:v>
      </x:c>
      <x:c r="F47" s="2" t="n">
        <x:f>E47/Assumptions!$B$5/3600</x:f>
        <x:v>0.5328472222222222</x:v>
      </x:c>
    </x:row>
    <x:row r="48" ht="15.75" customHeight="1">
      <x:c r="A48" s="2">
        <x:v>47.0</x:v>
      </x:c>
      <x:c r="B48" s="2">
        <x:f t="shared" si="1"/>
        <x:v>235</x:v>
      </x:c>
      <x:c r="C48" s="2" t="n">
        <x:f>Assumptions!$B$6*A48^2*(1+Assumptions!$B$7*(A48/100)^Assumptions!$B$8)</x:f>
        <x:v>183656.2549456705</x:v>
      </x:c>
      <x:c r="D48" s="2">
        <x:v>180000.0</x:v>
      </x:c>
      <x:c r="E48" s="2">
        <x:f t="shared" si="2"/>
        <x:v>2098250</x:v>
      </x:c>
      <x:c r="F48" s="2" t="n">
        <x:f>E48/Assumptions!$B$5/3600</x:f>
        <x:v>0.5828472222222222</x:v>
      </x:c>
    </x:row>
    <x:row r="49" ht="15.75" customHeight="1">
      <x:c r="A49" s="2">
        <x:v>48.0</x:v>
      </x:c>
      <x:c r="B49" s="2">
        <x:f t="shared" si="1"/>
        <x:v>240</x:v>
      </x:c>
      <x:c r="C49" s="2" t="n">
        <x:f>Assumptions!$B$6*A49^2*(1+Assumptions!$B$7*(A49/100)^Assumptions!$B$8)</x:f>
        <x:v>199409.38925844274</x:v>
      </x:c>
      <x:c r="D49" s="2">
        <x:v>200000.0</x:v>
      </x:c>
      <x:c r="E49" s="2">
        <x:f t="shared" si="2"/>
        <x:v>2298250</x:v>
      </x:c>
      <x:c r="F49" s="2" t="n">
        <x:f>E49/Assumptions!$B$5/3600</x:f>
        <x:v>0.6384027777777778</x:v>
      </x:c>
    </x:row>
    <x:row r="50" ht="15.75" customHeight="1">
      <x:c r="A50" s="2">
        <x:v>49.0</x:v>
      </x:c>
      <x:c r="B50" s="2">
        <x:f t="shared" si="1"/>
        <x:v>245</x:v>
      </x:c>
      <x:c r="C50" s="2" t="n">
        <x:f>Assumptions!$B$6*A50^2*(1+Assumptions!$B$7*(A50/100)^Assumptions!$B$8)</x:f>
        <x:v>216383.01962119335</x:v>
      </x:c>
      <x:c r="D50" s="2">
        <x:v>220000.0</x:v>
      </x:c>
      <x:c r="E50" s="2">
        <x:f t="shared" si="2"/>
        <x:v>2518250</x:v>
      </x:c>
      <x:c r="F50" s="2" t="n">
        <x:f>E50/Assumptions!$B$5/3600</x:f>
        <x:v>0.6995138888888889</x:v>
      </x:c>
    </x:row>
    <x:row r="51" ht="15.75" customHeight="1">
      <x:c r="A51" s="2">
        <x:v>50.0</x:v>
      </x:c>
      <x:c r="B51" s="2">
        <x:f t="shared" si="1"/>
        <x:v>250</x:v>
      </x:c>
      <x:c r="C51" s="2" t="n">
        <x:f>Assumptions!$B$6*A51^2*(1+Assumptions!$B$7*(A51/100)^Assumptions!$B$8)</x:f>
        <x:v>234656.8726694</x:v>
      </x:c>
      <x:c r="D51" s="2">
        <x:v>230000.0</x:v>
      </x:c>
      <x:c r="E51" s="2">
        <x:f t="shared" si="2"/>
        <x:v>2748250</x:v>
      </x:c>
      <x:c r="F51" s="2" t="n">
        <x:f>E51/Assumptions!$B$5/3600</x:f>
        <x:v>0.7634027777777778</x:v>
      </x:c>
    </x:row>
    <x:row r="52" ht="15.75" customHeight="1">
      <x:c r="A52" s="2">
        <x:v>51.0</x:v>
      </x:c>
      <x:c r="B52" s="2">
        <x:f t="shared" si="1"/>
        <x:v>255</x:v>
      </x:c>
      <x:c r="C52" s="2" t="n">
        <x:f>Assumptions!$B$6*A52^2*(1+Assumptions!$B$7*(A52/100)^Assumptions!$B$8)</x:f>
        <x:v>254314.42094269284</x:v>
      </x:c>
      <x:c r="D52" s="2">
        <x:v>250000.0</x:v>
      </x:c>
      <x:c r="E52" s="2">
        <x:f t="shared" si="2"/>
        <x:v>2998250</x:v>
      </x:c>
      <x:c r="F52" s="2" t="n">
        <x:f>E52/Assumptions!$B$5/3600</x:f>
        <x:v>0.8328472222222222</x:v>
      </x:c>
    </x:row>
    <x:row r="53" ht="15.75" customHeight="1">
      <x:c r="A53" s="2">
        <x:v>52.0</x:v>
      </x:c>
      <x:c r="B53" s="2">
        <x:f t="shared" si="1"/>
        <x:v>260</x:v>
      </x:c>
      <x:c r="C53" s="2" t="n">
        <x:f>Assumptions!$B$6*A53^2*(1+Assumptions!$B$7*(A53/100)^Assumptions!$B$8)</x:f>
        <x:v>275442.97868287296</x:v>
      </x:c>
      <x:c r="D53" s="2">
        <x:v>280000.0</x:v>
      </x:c>
      <x:c r="E53" s="2">
        <x:f t="shared" si="2"/>
        <x:v>3278250</x:v>
      </x:c>
      <x:c r="F53" s="2" t="n">
        <x:f>E53/Assumptions!$B$5/3600</x:f>
        <x:v>0.910625</x:v>
      </x:c>
    </x:row>
    <x:row r="54" ht="15.75" customHeight="1">
      <x:c r="A54" s="2">
        <x:v>53.0</x:v>
      </x:c>
      <x:c r="B54" s="2">
        <x:f t="shared" si="1"/>
        <x:v>265</x:v>
      </x:c>
      <x:c r="C54" s="2" t="n">
        <x:f>Assumptions!$B$6*A54^2*(1+Assumptions!$B$7*(A54/100)^Assumptions!$B$8)</x:f>
        <x:v>298133.7981121969</x:v>
      </x:c>
      <x:c r="D54" s="2">
        <x:v>300000.0</x:v>
      </x:c>
      <x:c r="E54" s="2">
        <x:f t="shared" si="2"/>
        <x:v>3578250</x:v>
      </x:c>
      <x:c r="F54" s="2" t="n">
        <x:f>E54/Assumptions!$B$5/3600</x:f>
        <x:v>0.9939583333333334</x:v>
      </x:c>
    </x:row>
    <x:row r="55" ht="15.75" customHeight="1">
      <x:c r="A55" s="2">
        <x:v>54.0</x:v>
      </x:c>
      <x:c r="B55" s="2">
        <x:f t="shared" si="1"/>
        <x:v>270</x:v>
      </x:c>
      <x:c r="C55" s="2" t="n">
        <x:f>Assumptions!$B$6*A55^2*(1+Assumptions!$B$7*(A55/100)^Assumptions!$B$8)</x:f>
        <x:v>322482.1661848449</x:v>
      </x:c>
      <x:c r="D55" s="2">
        <x:v>320000.0</x:v>
      </x:c>
      <x:c r="E55" s="2">
        <x:f t="shared" si="2"/>
        <x:v>3898250</x:v>
      </x:c>
      <x:c r="F55" s="2" t="n">
        <x:f>E55/Assumptions!$B$5/3600</x:f>
        <x:v>1.0828472222222223</x:v>
      </x:c>
    </x:row>
    <x:row r="56" ht="15.75" customHeight="1">
      <x:c r="A56" s="2">
        <x:v>55.0</x:v>
      </x:c>
      <x:c r="B56" s="2">
        <x:f t="shared" si="1"/>
        <x:v>275</x:v>
      </x:c>
      <x:c r="C56" s="2" t="n">
        <x:f>Assumptions!$B$6*A56^2*(1+Assumptions!$B$7*(A56/100)^Assumptions!$B$8)</x:f>
        <x:v>348587.50180472794</x:v>
      </x:c>
      <x:c r="D56" s="2">
        <x:v>350000.0</x:v>
      </x:c>
      <x:c r="E56" s="2">
        <x:f t="shared" si="2"/>
        <x:v>4248250</x:v>
      </x:c>
      <x:c r="F56" s="2" t="n">
        <x:f>E56/Assumptions!$B$5/3600</x:f>
        <x:v>1.1800694444444444</x:v>
      </x:c>
    </x:row>
    <x:row r="57" ht="15.75" customHeight="1">
      <x:c r="A57" s="2">
        <x:v>56.0</x:v>
      </x:c>
      <x:c r="B57" s="2">
        <x:f t="shared" si="1"/>
        <x:v>280</x:v>
      </x:c>
      <x:c r="C57" s="2" t="n">
        <x:f>Assumptions!$B$6*A57^2*(1+Assumptions!$B$7*(A57/100)^Assumptions!$B$8)</x:f>
        <x:v>376553.4535030181</x:v>
      </x:c>
      <x:c r="D57" s="2">
        <x:v>380000.0</x:v>
      </x:c>
      <x:c r="E57" s="2">
        <x:f t="shared" si="2"/>
        <x:v>4628250</x:v>
      </x:c>
      <x:c r="F57" s="2" t="n">
        <x:f>E57/Assumptions!$B$5/3600</x:f>
        <x:v>1.285625</x:v>
      </x:c>
    </x:row>
    <x:row r="58" ht="15.75" customHeight="1">
      <x:c r="A58" s="2">
        <x:v>57.0</x:v>
      </x:c>
      <x:c r="B58" s="2">
        <x:f t="shared" si="1"/>
        <x:v>285</x:v>
      </x:c>
      <x:c r="C58" s="2" t="n">
        <x:f>Assumptions!$B$6*A58^2*(1+Assumptions!$B$7*(A58/100)^Assumptions!$B$8)</x:f>
        <x:v>406487.9975689996</x:v>
      </x:c>
      <x:c r="D58" s="2">
        <x:v>410000.0</x:v>
      </x:c>
      <x:c r="E58" s="2">
        <x:f t="shared" si="2"/>
        <x:v>5038250</x:v>
      </x:c>
      <x:c r="F58" s="2" t="n">
        <x:f>E58/Assumptions!$B$5/3600</x:f>
        <x:v>1.399513888888889</x:v>
      </x:c>
    </x:row>
    <x:row r="59" ht="15.75" customHeight="1">
      <x:c r="A59" s="2">
        <x:v>58.0</x:v>
      </x:c>
      <x:c r="B59" s="2">
        <x:f t="shared" si="1"/>
        <x:v>290</x:v>
      </x:c>
      <x:c r="C59" s="2" t="n">
        <x:f>Assumptions!$B$6*A59^2*(1+Assumptions!$B$7*(A59/100)^Assumptions!$B$8)</x:f>
        <x:v>438503.53662804374</x:v>
      </x:c>
      <x:c r="D59" s="2">
        <x:v>440000.0</x:v>
      </x:c>
      <x:c r="E59" s="2">
        <x:f t="shared" si="2"/>
        <x:v>5478250</x:v>
      </x:c>
      <x:c r="F59" s="2" t="n">
        <x:f>E59/Assumptions!$B$5/3600</x:f>
        <x:v>1.5217361111111112</x:v>
      </x:c>
    </x:row>
    <x:row r="60" ht="15.75" customHeight="1">
      <x:c r="A60" s="2">
        <x:v>59.0</x:v>
      </x:c>
      <x:c r="B60" s="2">
        <x:f t="shared" si="1"/>
        <x:v>295</x:v>
      </x:c>
      <x:c r="C60" s="2" t="n">
        <x:f>Assumptions!$B$6*A60^2*(1+Assumptions!$B$7*(A60/100)^Assumptions!$B$8)</x:f>
        <x:v>472716.9986607024</x:v>
      </x:c>
      <x:c r="D60" s="2">
        <x:v>470000.0</x:v>
      </x:c>
      <x:c r="E60" s="2">
        <x:f t="shared" si="2"/>
        <x:v>5948250</x:v>
      </x:c>
      <x:c r="F60" s="2" t="n">
        <x:f>E60/Assumptions!$B$5/3600</x:f>
        <x:v>1.6522916666666667</x:v>
      </x:c>
    </x:row>
    <x:row r="61" ht="15.75" customHeight="1">
      <x:c r="A61" s="2">
        <x:v>60.0</x:v>
      </x:c>
      <x:c r="B61" s="2">
        <x:f t="shared" si="1"/>
        <x:v>300</x:v>
      </x:c>
      <x:c r="C61" s="2" t="n">
        <x:f>Assumptions!$B$6*A61^2*(1+Assumptions!$B$7*(A61/100)^Assumptions!$B$8)</x:f>
        <x:v>509249.9364571039</x:v>
      </x:c>
      <x:c r="D61" s="2">
        <x:v>510000.0</x:v>
      </x:c>
      <x:c r="E61" s="2">
        <x:f t="shared" si="2"/>
        <x:v>6458250</x:v>
      </x:c>
      <x:c r="F61" s="2" t="n">
        <x:f>E61/Assumptions!$B$5/3600</x:f>
        <x:v>1.7939583333333333</x:v>
      </x:c>
    </x:row>
    <x:row r="62" ht="15.75" customHeight="1">
      <x:c r="A62" s="2">
        <x:v>61.0</x:v>
      </x:c>
      <x:c r="B62" s="2">
        <x:f t="shared" si="1"/>
        <x:v>305</x:v>
      </x:c>
      <x:c r="C62" s="2" t="n">
        <x:f>Assumptions!$B$6*A62^2*(1+Assumptions!$B$7*(A62/100)^Assumptions!$B$8)</x:f>
        <x:v>548228.6275010069</x:v>
      </x:c>
      <x:c r="D62" s="2">
        <x:v>550000.0</x:v>
      </x:c>
      <x:c r="E62" s="2">
        <x:f t="shared" si="2"/>
        <x:v>7008250</x:v>
      </x:c>
      <x:c r="F62" s="2" t="n">
        <x:f>E62/Assumptions!$B$5/3600</x:f>
        <x:v>1.946736111111111</x:v>
      </x:c>
    </x:row>
    <x:row r="63" ht="15.75" customHeight="1">
      <x:c r="A63" s="2">
        <x:v>62.0</x:v>
      </x:c>
      <x:c r="B63" s="2">
        <x:f t="shared" si="1"/>
        <x:v>310</x:v>
      </x:c>
      <x:c r="C63" s="2" t="n">
        <x:f>Assumptions!$B$6*A63^2*(1+Assumptions!$B$7*(A63/100)^Assumptions!$B$8)</x:f>
        <x:v>589784.1742780389</x:v>
      </x:c>
      <x:c r="D63" s="2">
        <x:v>590000.0</x:v>
      </x:c>
      <x:c r="E63" s="2">
        <x:f t="shared" si="2"/>
        <x:v>7598250</x:v>
      </x:c>
      <x:c r="F63" s="2" t="n">
        <x:f>E63/Assumptions!$B$5/3600</x:f>
        <x:v>2.110625</x:v>
      </x:c>
    </x:row>
    <x:row r="64" ht="15.75" customHeight="1">
      <x:c r="A64" s="2">
        <x:v>63.0</x:v>
      </x:c>
      <x:c r="B64" s="2">
        <x:f t="shared" si="1"/>
        <x:v>315</x:v>
      </x:c>
      <x:c r="C64" s="2" t="n">
        <x:f>Assumptions!$B$6*A64^2*(1+Assumptions!$B$7*(A64/100)^Assumptions!$B$8)</x:f>
        <x:v>634052.6050028026</x:v>
      </x:c>
      <x:c r="D64" s="2">
        <x:v>630000.0</x:v>
      </x:c>
      <x:c r="E64" s="2">
        <x:f t="shared" si="2"/>
        <x:v>8228250</x:v>
      </x:c>
      <x:c r="F64" s="2" t="n">
        <x:f>E64/Assumptions!$B$5/3600</x:f>
        <x:v>2.285625</x:v>
      </x:c>
    </x:row>
    <x:row r="65" ht="15.75" customHeight="1">
      <x:c r="A65" s="2">
        <x:v>64.0</x:v>
      </x:c>
      <x:c r="B65" s="2">
        <x:f t="shared" si="1"/>
        <x:v>320</x:v>
      </x:c>
      <x:c r="C65" s="2" t="n">
        <x:f>Assumptions!$B$6*A65^2*(1+Assumptions!$B$7*(A65/100)^Assumptions!$B$8)</x:f>
        <x:v>681174.9747596899</x:v>
      </x:c>
      <x:c r="D65" s="2">
        <x:v>680000.0</x:v>
      </x:c>
      <x:c r="E65" s="2">
        <x:f t="shared" si="2"/>
        <x:v>8908250</x:v>
      </x:c>
      <x:c r="F65" s="2" t="n">
        <x:f>E65/Assumptions!$B$5/3600</x:f>
        <x:v>2.4745138888888887</x:v>
      </x:c>
    </x:row>
    <x:row r="66" ht="15.75" customHeight="1">
      <x:c r="A66" s="2">
        <x:v>65.0</x:v>
      </x:c>
      <x:c r="B66" s="2">
        <x:f t="shared" si="1"/>
        <x:v>325</x:v>
      </x:c>
      <x:c r="C66" s="2" t="n">
        <x:f>Assumptions!$B$6*A66^2*(1+Assumptions!$B$7*(A66/100)^Assumptions!$B$8)</x:f>
        <x:v>731297.4670523887</x:v>
      </x:c>
      <x:c r="D66" s="2">
        <x:v>730000.0</x:v>
      </x:c>
      <x:c r="E66" s="2">
        <x:f t="shared" si="2"/>
        <x:v>9638250</x:v>
      </x:c>
      <x:c r="F66" s="2" t="n">
        <x:f>E66/Assumptions!$B$5/3600</x:f>
        <x:v>2.6772916666666666</x:v>
      </x:c>
    </x:row>
    <x:row r="67" ht="15.75" customHeight="1">
      <x:c r="A67" s="2">
        <x:v>66.0</x:v>
      </x:c>
      <x:c r="B67" s="2">
        <x:f t="shared" si="1"/>
        <x:v>330</x:v>
      </x:c>
      <x:c r="C67" s="2" t="n">
        <x:f>Assumptions!$B$6*A67^2*(1+Assumptions!$B$7*(A67/100)^Assumptions!$B$8)</x:f>
        <x:v>784571.4957572029</x:v>
      </x:c>
      <x:c r="D67" s="2">
        <x:v>780000.0</x:v>
      </x:c>
      <x:c r="E67" s="2">
        <x:f t="shared" si="2"/>
        <x:v>10418250</x:v>
      </x:c>
      <x:c r="F67" s="2" t="n">
        <x:f>E67/Assumptions!$B$5/3600</x:f>
        <x:v>2.8939583333333334</x:v>
      </x:c>
    </x:row>
    <x:row r="68" ht="15.75" customHeight="1">
      <x:c r="A68" s="2">
        <x:v>67.0</x:v>
      </x:c>
      <x:c r="B68" s="2">
        <x:f t="shared" si="1"/>
        <x:v>335</x:v>
      </x:c>
      <x:c r="C68" s="2" t="n">
        <x:f>Assumptions!$B$6*A68^2*(1+Assumptions!$B$7*(A68/100)^Assumptions!$B$8)</x:f>
        <x:v>841153.8074754454</x:v>
      </x:c>
      <x:c r="D68" s="2">
        <x:v>840000.0</x:v>
      </x:c>
      <x:c r="E68" s="2">
        <x:f t="shared" si="2"/>
        <x:v>11258250</x:v>
      </x:c>
      <x:c r="F68" s="2" t="n">
        <x:f>E68/Assumptions!$B$5/3600</x:f>
        <x:v>3.127291666666667</x:v>
      </x:c>
    </x:row>
    <x:row r="69" ht="15.75" customHeight="1">
      <x:c r="A69" s="2">
        <x:v>68.0</x:v>
      </x:c>
      <x:c r="B69" s="2">
        <x:f t="shared" si="1"/>
        <x:v>340</x:v>
      </x:c>
      <x:c r="C69" s="2" t="n">
        <x:f>Assumptions!$B$6*A69^2*(1+Assumptions!$B$7*(A69/100)^Assumptions!$B$8)</x:f>
        <x:v>901206.5842802911</x:v>
      </x:c>
      <x:c r="D69" s="2">
        <x:v>900000.0</x:v>
      </x:c>
      <x:c r="E69" s="2">
        <x:f t="shared" si="2"/>
        <x:v>12158250</x:v>
      </x:c>
      <x:c r="F69" s="2" t="n">
        <x:f>E69/Assumptions!$B$5/3600</x:f>
        <x:v>3.377291666666667</x:v>
      </x:c>
    </x:row>
    <x:row r="70" ht="15.75" customHeight="1">
      <x:c r="A70" s="2">
        <x:v>69.0</x:v>
      </x:c>
      <x:c r="B70" s="2">
        <x:f t="shared" si="1"/>
        <x:v>345</x:v>
      </x:c>
      <x:c r="C70" s="2" t="n">
        <x:f>Assumptions!$B$6*A70^2*(1+Assumptions!$B$7*(A70/100)^Assumptions!$B$8)</x:f>
        <x:v>964897.5468535929</x:v>
      </x:c>
      <x:c r="D70" s="2">
        <x:v>960000.0</x:v>
      </x:c>
      <x:c r="E70" s="2">
        <x:f t="shared" si="2"/>
        <x:v>13118250</x:v>
      </x:c>
      <x:c r="F70" s="2" t="n">
        <x:f>E70/Assumptions!$B$5/3600</x:f>
        <x:v>3.6439583333333334</x:v>
      </x:c>
    </x:row>
    <x:row r="71" ht="15.75" customHeight="1">
      <x:c r="A71" s="2">
        <x:v>70.0</x:v>
      </x:c>
      <x:c r="B71" s="2">
        <x:f t="shared" si="1"/>
        <x:v>350</x:v>
      </x:c>
      <x:c r="C71" s="2" t="n">
        <x:f>Assumptions!$B$6*A71^2*(1+Assumptions!$B$7*(A71/100)^Assumptions!$B$8)</x:f>
        <x:v>1032400.0580082932</x:v>
      </x:c>
      <x:c r="D71" s="2">
        <x:v>1000000.0</x:v>
      </x:c>
      <x:c r="E71" s="2">
        <x:f t="shared" si="2"/>
        <x:v>14118250</x:v>
      </x:c>
      <x:c r="F71" s="2" t="n">
        <x:f>E71/Assumptions!$B$5/3600</x:f>
        <x:v>3.921736111111111</x:v>
      </x:c>
    </x:row>
    <x:row r="72" ht="15.75" customHeight="1">
      <x:c r="A72" s="2">
        <x:v>71.0</x:v>
      </x:c>
      <x:c r="B72" s="2">
        <x:f t="shared" si="1"/>
        <x:v>355</x:v>
      </x:c>
      <x:c r="C72" s="2" t="n">
        <x:f>Assumptions!$B$6*A72^2*(1+Assumptions!$B$7*(A72/100)^Assumptions!$B$8)</x:f>
        <x:v>1103893.226592162</x:v>
      </x:c>
      <x:c r="D72" s="2">
        <x:v>1100000.0</x:v>
      </x:c>
      <x:c r="E72" s="2">
        <x:f t="shared" si="2"/>
        <x:v>15218250</x:v>
      </x:c>
      <x:c r="F72" s="2" t="n">
        <x:f>E72/Assumptions!$B$5/3600</x:f>
        <x:v>4.227291666666667</x:v>
      </x:c>
    </x:row>
    <x:row r="73" ht="15.75" customHeight="1">
      <x:c r="A73" s="2">
        <x:v>72.0</x:v>
      </x:c>
      <x:c r="B73" s="2">
        <x:f t="shared" si="1"/>
        <x:v>360</x:v>
      </x:c>
      <x:c r="C73" s="2" t="n">
        <x:f>Assumptions!$B$6*A73^2*(1+Assumptions!$B$7*(A73/100)^Assumptions!$B$8)</x:f>
        <x:v>1179562.0117687148</x:v>
      </x:c>
      <x:c r="D73" s="2">
        <x:v>1200000.0</x:v>
      </x:c>
      <x:c r="E73" s="2">
        <x:f t="shared" si="2"/>
        <x:v>16418250</x:v>
      </x:c>
      <x:c r="F73" s="2" t="n">
        <x:f>E73/Assumptions!$B$5/3600</x:f>
        <x:v>4.560625</x:v>
      </x:c>
    </x:row>
    <x:row r="74" ht="15.75" customHeight="1">
      <x:c r="A74" s="2">
        <x:v>73.0</x:v>
      </x:c>
      <x:c r="B74" s="2">
        <x:f t="shared" si="1"/>
        <x:v>365</x:v>
      </x:c>
      <x:c r="C74" s="2" t="n">
        <x:f>Assumptions!$B$6*A74^2*(1+Assumptions!$B$7*(A74/100)^Assumptions!$B$8)</x:f>
        <x:v>1259597.3276712568</x:v>
      </x:c>
      <x:c r="D74" s="2">
        <x:v>1300000.0</x:v>
      </x:c>
      <x:c r="E74" s="2">
        <x:f t="shared" si="2"/>
        <x:v>17718250</x:v>
      </x:c>
      <x:c r="F74" s="2" t="n">
        <x:f>E74/Assumptions!$B$5/3600</x:f>
        <x:v>4.9217361111111115</x:v>
      </x:c>
    </x:row>
    <x:row r="75" ht="15.75" customHeight="1">
      <x:c r="A75" s="2">
        <x:v>74.0</x:v>
      </x:c>
      <x:c r="B75" s="2">
        <x:f t="shared" si="1"/>
        <x:v>370</x:v>
      </x:c>
      <x:c r="C75" s="2" t="n">
        <x:f>Assumptions!$B$6*A75^2*(1+Assumptions!$B$7*(A75/100)^Assumptions!$B$8)</x:f>
        <x:v>1344196.1484261078</x:v>
      </x:c>
      <x:c r="D75" s="2">
        <x:v>1400000.0</x:v>
      </x:c>
      <x:c r="E75" s="2">
        <x:f t="shared" si="2"/>
        <x:v>19118250</x:v>
      </x:c>
      <x:c r="F75" s="2" t="n">
        <x:f>E75/Assumptions!$B$5/3600</x:f>
        <x:v>5.310625</x:v>
      </x:c>
    </x:row>
    <x:row r="76" ht="15.75" customHeight="1">
      <x:c r="A76" s="2">
        <x:v>75.0</x:v>
      </x:c>
      <x:c r="B76" s="2">
        <x:f t="shared" si="1"/>
        <x:v>375</x:v>
      </x:c>
      <x:c r="C76" s="2" t="n">
        <x:f>Assumptions!$B$6*A76^2*(1+Assumptions!$B$7*(A76/100)^Assumptions!$B$8)</x:f>
        <x:v>1433561.6135411495</x:v>
      </x:c>
      <x:c r="D76" s="2">
        <x:v>1500000.0</x:v>
      </x:c>
      <x:c r="E76" s="2">
        <x:f t="shared" si="2"/>
        <x:v>20618250</x:v>
      </x:c>
      <x:c r="F76" s="2" t="n">
        <x:f>E76/Assumptions!$B$5/3600</x:f>
        <x:v>5.727291666666667</x:v>
      </x:c>
    </x:row>
    <x:row r="77" ht="15.75" customHeight="1">
      <x:c r="A77" s="2">
        <x:v>76.0</x:v>
      </x:c>
      <x:c r="B77" s="2">
        <x:f t="shared" si="1"/>
        <x:v>380</x:v>
      </x:c>
      <x:c r="C77" s="2" t="n">
        <x:f>Assumptions!$B$6*A77^2*(1+Assumptions!$B$7*(A77/100)^Assumptions!$B$8)</x:f>
        <x:v>1527903.1336559416</x:v>
      </x:c>
      <x:c r="D77" s="2">
        <x:v>1600000.0</x:v>
      </x:c>
      <x:c r="E77" s="2">
        <x:f t="shared" si="2"/>
        <x:v>22218250</x:v>
      </x:c>
      <x:c r="F77" s="2" t="n">
        <x:f>E77/Assumptions!$B$5/3600</x:f>
        <x:v>6.1717361111111115</x:v>
      </x:c>
    </x:row>
    <x:row r="78" ht="15.75" customHeight="1">
      <x:c r="A78" s="2">
        <x:v>77.0</x:v>
      </x:c>
      <x:c r="B78" s="2">
        <x:f t="shared" si="1"/>
        <x:v>385</x:v>
      </x:c>
      <x:c r="C78" s="2" t="n">
        <x:f>Assumptions!$B$6*A78^2*(1+Assumptions!$B$7*(A78/100)^Assumptions!$B$8)</x:f>
        <x:v>1627436.49664973</x:v>
      </x:c>
      <x:c r="D78" s="2">
        <x:v>1700000.0</x:v>
      </x:c>
      <x:c r="E78" s="2">
        <x:f t="shared" si="2"/>
        <x:v>23918250</x:v>
      </x:c>
      <x:c r="F78" s="2" t="n">
        <x:f>E78/Assumptions!$B$5/3600</x:f>
        <x:v>6.643958333333333</x:v>
      </x:c>
    </x:row>
    <x:row r="79" ht="15.75" customHeight="1">
      <x:c r="A79" s="2">
        <x:v>78.0</x:v>
      </x:c>
      <x:c r="B79" s="2">
        <x:f t="shared" si="1"/>
        <x:v>390</x:v>
      </x:c>
      <x:c r="C79" s="2" t="n">
        <x:f>Assumptions!$B$6*A79^2*(1+Assumptions!$B$7*(A79/100)^Assumptions!$B$8)</x:f>
        <x:v>1732383.974103764</x:v>
      </x:c>
      <x:c r="D79" s="2">
        <x:v>1800000.0</x:v>
      </x:c>
      <x:c r="E79" s="2">
        <x:f t="shared" si="2"/>
        <x:v>25718250</x:v>
      </x:c>
      <x:c r="F79" s="2" t="n">
        <x:f>E79/Assumptions!$B$5/3600</x:f>
        <x:v>7.143958333333333</x:v>
      </x:c>
    </x:row>
    <x:row r="80" ht="15.75" customHeight="1">
      <x:c r="A80" s="2">
        <x:v>79.0</x:v>
      </x:c>
      <x:c r="B80" s="2">
        <x:f t="shared" si="1"/>
        <x:v>395</x:v>
      </x:c>
      <x:c r="C80" s="2" t="n">
        <x:f>Assumptions!$B$6*A80^2*(1+Assumptions!$B$7*(A80/100)^Assumptions!$B$8)</x:f>
        <x:v>1842974.4281144182</x:v>
      </x:c>
      <x:c r="D80" s="2">
        <x:v>1900000.0</x:v>
      </x:c>
      <x:c r="E80" s="2">
        <x:f t="shared" si="2"/>
        <x:v>27618250</x:v>
      </x:c>
      <x:c r="F80" s="2" t="n">
        <x:f>E80/Assumptions!$B$5/3600</x:f>
        <x:v>7.6717361111111115</x:v>
      </x:c>
    </x:row>
    <x:row r="81" ht="15.75" customHeight="1">
      <x:c r="A81" s="2">
        <x:v>80.0</x:v>
      </x:c>
      <x:c r="B81" s="2">
        <x:f t="shared" si="1"/>
        <x:v>400</x:v>
      </x:c>
      <x:c r="C81" s="2" t="n">
        <x:f>Assumptions!$B$6*A81^2*(1+Assumptions!$B$7*(A81/100)^Assumptions!$B$8)</x:f>
        <x:v>1959443.4184537</x:v>
      </x:c>
      <x:c r="D81" s="2">
        <x:v>2000000.0</x:v>
      </x:c>
      <x:c r="E81" s="2">
        <x:f t="shared" si="2"/>
        <x:v>29618250</x:v>
      </x:c>
      <x:c r="F81" s="2" t="n">
        <x:f>E81/Assumptions!$B$5/3600</x:f>
        <x:v>8.227291666666666</x:v>
      </x:c>
    </x:row>
    <x:row r="82" ht="15.75" customHeight="1">
      <x:c r="A82" s="2">
        <x:v>81.0</x:v>
      </x:c>
      <x:c r="B82" s="2">
        <x:f t="shared" si="1"/>
        <x:v>405</x:v>
      </x:c>
      <x:c r="C82" s="2" t="n">
        <x:f>Assumptions!$B$6*A82^2*(1+Assumptions!$B$7*(A82/100)^Assumptions!$B$8)</x:f>
        <x:v>2082033.3100737887</x:v>
      </x:c>
      <x:c r="D82" s="2">
        <x:v>2100000.0</x:v>
      </x:c>
      <x:c r="E82" s="2">
        <x:f t="shared" si="2"/>
        <x:v>31718250</x:v>
      </x:c>
      <x:c r="F82" s="2" t="n">
        <x:f>E82/Assumptions!$B$5/3600</x:f>
        <x:v>8.810625</x:v>
      </x:c>
    </x:row>
    <x:row r="83" ht="15.75" customHeight="1">
      <x:c r="A83" s="2">
        <x:v>82.0</x:v>
      </x:c>
      <x:c r="B83" s="2">
        <x:f t="shared" si="1"/>
        <x:v>410</x:v>
      </x:c>
      <x:c r="C83" s="2" t="n">
        <x:f>Assumptions!$B$6*A83^2*(1+Assumptions!$B$7*(A83/100)^Assumptions!$B$8)</x:f>
        <x:v>2210993.380952345</x:v>
      </x:c>
      <x:c r="D83" s="2">
        <x:v>2200000.0</x:v>
      </x:c>
      <x:c r="E83" s="2">
        <x:f t="shared" si="2"/>
        <x:v>33918250</x:v>
      </x:c>
      <x:c r="F83" s="2" t="n">
        <x:f>E83/Assumptions!$B$5/3600</x:f>
        <x:v>9.42173611111111</x:v>
      </x:c>
    </x:row>
    <x:row r="84" ht="15.75" customHeight="1">
      <x:c r="A84" s="2">
        <x:v>83.0</x:v>
      </x:c>
      <x:c r="B84" s="2">
        <x:f t="shared" si="1"/>
        <x:v>415</x:v>
      </x:c>
      <x:c r="C84" s="2" t="n">
        <x:f>Assumptions!$B$6*A84^2*(1+Assumptions!$B$7*(A84/100)^Assumptions!$B$8)</x:f>
        <x:v>2346579.9302753825</x:v>
      </x:c>
      <x:c r="D84" s="2">
        <x:v>2400000.0</x:v>
      </x:c>
      <x:c r="E84" s="2">
        <x:f t="shared" si="2"/>
        <x:v>36318250</x:v>
      </x:c>
      <x:c r="F84" s="2" t="n">
        <x:f>E84/Assumptions!$B$5/3600</x:f>
        <x:v>10.088402777777778</x:v>
      </x:c>
    </x:row>
    <x:row r="85" ht="15.75" customHeight="1">
      <x:c r="A85" s="2">
        <x:v>84.0</x:v>
      </x:c>
      <x:c r="B85" s="2">
        <x:f t="shared" si="1"/>
        <x:v>420</x:v>
      </x:c>
      <x:c r="C85" s="2" t="n">
        <x:f>Assumptions!$B$6*A85^2*(1+Assumptions!$B$7*(A85/100)^Assumptions!$B$8)</x:f>
        <x:v>2489056.3869545697</x:v>
      </x:c>
      <x:c r="D85" s="2">
        <x:v>2500000.0</x:v>
      </x:c>
      <x:c r="E85" s="2">
        <x:f t="shared" si="2"/>
        <x:v>38818250</x:v>
      </x:c>
      <x:c r="F85" s="2" t="n">
        <x:f>E85/Assumptions!$B$5/3600</x:f>
        <x:v>10.782847222222221</x:v>
      </x:c>
    </x:row>
    <x:row r="86" ht="15.75" customHeight="1">
      <x:c r="A86" s="2">
        <x:v>85.0</x:v>
      </x:c>
      <x:c r="B86" s="2">
        <x:f t="shared" si="1"/>
        <x:v>425</x:v>
      </x:c>
      <x:c r="C86" s="2" t="n">
        <x:f>Assumptions!$B$6*A86^2*(1+Assumptions!$B$7*(A86/100)^Assumptions!$B$8)</x:f>
        <x:v>2638693.418475908</x:v>
      </x:c>
      <x:c r="D86" s="2">
        <x:v>2700000.0</x:v>
      </x:c>
      <x:c r="E86" s="2">
        <x:f t="shared" si="2"/>
        <x:v>41518250</x:v>
      </x:c>
      <x:c r="F86" s="2" t="n">
        <x:f>E86/Assumptions!$B$5/3600</x:f>
        <x:v>11.532847222222221</x:v>
      </x:c>
    </x:row>
    <x:row r="87" ht="15.75" customHeight="1">
      <x:c r="A87" s="2">
        <x:v>86.0</x:v>
      </x:c>
      <x:c r="B87" s="2">
        <x:f t="shared" si="1"/>
        <x:v>430</x:v>
      </x:c>
      <x:c r="C87" s="2" t="n">
        <x:f>Assumptions!$B$6*A87^2*(1+Assumptions!$B$7*(A87/100)^Assumptions!$B$8)</x:f>
        <x:v>2795769.040076778</x:v>
      </x:c>
      <x:c r="D87" s="2">
        <x:v>2800000.0</x:v>
      </x:c>
      <x:c r="E87" s="2">
        <x:f t="shared" si="2"/>
        <x:v>44318250</x:v>
      </x:c>
      <x:c r="F87" s="2" t="n">
        <x:f>E87/Assumptions!$B$5/3600</x:f>
        <x:v>12.310625</x:v>
      </x:c>
    </x:row>
    <x:row r="88" ht="15.75" customHeight="1">
      <x:c r="A88" s="2">
        <x:v>87.0</x:v>
      </x:c>
      <x:c r="B88" s="2">
        <x:f t="shared" si="1"/>
        <x:v>435</x:v>
      </x:c>
      <x:c r="C88" s="2" t="n">
        <x:f>Assumptions!$B$6*A88^2*(1+Assumptions!$B$7*(A88/100)^Assumptions!$B$8)</x:f>
        <x:v>2960568.724248415</x:v>
      </x:c>
      <x:c r="D88" s="2">
        <x:v>3000000.0</x:v>
      </x:c>
      <x:c r="E88" s="2">
        <x:f t="shared" si="2"/>
        <x:v>47318250</x:v>
      </x:c>
      <x:c r="F88" s="2" t="n">
        <x:f>E88/Assumptions!$B$5/3600</x:f>
        <x:v>13.143958333333334</x:v>
      </x:c>
    </x:row>
    <x:row r="89" ht="15.75" customHeight="1">
      <x:c r="A89" s="2">
        <x:v>88.0</x:v>
      </x:c>
      <x:c r="B89" s="2">
        <x:f t="shared" si="1"/>
        <x:v>440</x:v>
      </x:c>
      <x:c r="C89" s="2" t="n">
        <x:f>Assumptions!$B$6*A89^2*(1+Assumptions!$B$7*(A89/100)^Assumptions!$B$8)</x:f>
        <x:v>3133385.510560951</x:v>
      </x:c>
      <x:c r="D89" s="2">
        <x:v>3200000.0</x:v>
      </x:c>
      <x:c r="E89" s="2">
        <x:f t="shared" si="2"/>
        <x:v>50518250</x:v>
      </x:c>
      <x:c r="F89" s="2" t="n">
        <x:f>E89/Assumptions!$B$5/3600</x:f>
        <x:v>14.032847222222221</x:v>
      </x:c>
    </x:row>
    <x:row r="90" ht="15.75" customHeight="1">
      <x:c r="A90" s="2">
        <x:v>89.0</x:v>
      </x:c>
      <x:c r="B90" s="2">
        <x:f t="shared" si="1"/>
        <x:v>445</x:v>
      </x:c>
      <x:c r="C90" s="2" t="n">
        <x:f>Assumptions!$B$6*A90^2*(1+Assumptions!$B$7*(A90/100)^Assumptions!$B$8)</x:f>
        <x:v>3314520.1158081917</x:v>
      </x:c>
      <x:c r="D90" s="2">
        <x:v>3300000.0</x:v>
      </x:c>
      <x:c r="E90" s="2">
        <x:f t="shared" si="2"/>
        <x:v>53818250</x:v>
      </x:c>
      <x:c r="F90" s="2" t="n">
        <x:f>E90/Assumptions!$B$5/3600</x:f>
        <x:v>14.94951388888889</x:v>
      </x:c>
    </x:row>
    <x:row r="91" ht="15.75" customHeight="1">
      <x:c r="A91" s="2">
        <x:v>90.0</x:v>
      </x:c>
      <x:c r="B91" s="2">
        <x:f t="shared" si="1"/>
        <x:v>450</x:v>
      </x:c>
      <x:c r="C91" s="2" t="n">
        <x:f>Assumptions!$B$6*A91^2*(1+Assumptions!$B$7*(A91/100)^Assumptions!$B$8)</x:f>
        <x:v>3504281.044469372</x:v>
      </x:c>
      <x:c r="D91" s="2">
        <x:v>3500000.0</x:v>
      </x:c>
      <x:c r="E91" s="2">
        <x:f t="shared" si="2"/>
        <x:v>57318250</x:v>
      </x:c>
      <x:c r="F91" s="2" t="n">
        <x:f>E91/Assumptions!$B$5/3600</x:f>
        <x:v>15.92173611111111</x:v>
      </x:c>
    </x:row>
    <x:row r="92" ht="15.75" customHeight="1">
      <x:c r="A92" s="2">
        <x:v>91.0</x:v>
      </x:c>
      <x:c r="B92" s="2">
        <x:f t="shared" si="1"/>
        <x:v>455</x:v>
      </x:c>
      <x:c r="C92" s="2" t="n">
        <x:f>Assumptions!$B$6*A92^2*(1+Assumptions!$B$7*(A92/100)^Assumptions!$B$8)</x:f>
        <x:v>3702984.6994851893</x:v>
      </x:c>
      <x:c r="D92" s="2">
        <x:v>3700000.0</x:v>
      </x:c>
      <x:c r="E92" s="2">
        <x:f t="shared" si="2"/>
        <x:v>61018250</x:v>
      </x:c>
      <x:c r="F92" s="2" t="n">
        <x:f>E92/Assumptions!$B$5/3600</x:f>
        <x:v>16.949513888888887</x:v>
      </x:c>
    </x:row>
    <x:row r="93" ht="15.75" customHeight="1">
      <x:c r="A93" s="2">
        <x:v>92.0</x:v>
      </x:c>
      <x:c r="B93" s="2">
        <x:f t="shared" si="1"/>
        <x:v>460</x:v>
      </x:c>
      <x:c r="C93" s="2" t="n">
        <x:f>Assumptions!$B$6*A93^2*(1+Assumptions!$B$7*(A93/100)^Assumptions!$B$8)</x:f>
        <x:v>3910955.4933454595</x:v>
      </x:c>
      <x:c r="D93" s="2">
        <x:v>3900000.0</x:v>
      </x:c>
      <x:c r="E93" s="2">
        <x:f t="shared" si="2"/>
        <x:v>64918250</x:v>
      </x:c>
      <x:c r="F93" s="2" t="n">
        <x:f>E93/Assumptions!$B$5/3600</x:f>
        <x:v>18.032847222222223</x:v>
      </x:c>
    </x:row>
    <x:row r="94" ht="15.75" customHeight="1">
      <x:c r="A94" s="2">
        <x:v>93.0</x:v>
      </x:c>
      <x:c r="B94" s="2">
        <x:f t="shared" si="1"/>
        <x:v>465</x:v>
      </x:c>
      <x:c r="C94" s="2" t="n">
        <x:f>Assumptions!$B$6*A94^2*(1+Assumptions!$B$7*(A94/100)^Assumptions!$B$8)</x:f>
        <x:v>4128525.959485786</x:v>
      </x:c>
      <x:c r="D94" s="2">
        <x:v>4200000.0</x:v>
      </x:c>
      <x:c r="E94" s="2">
        <x:f t="shared" si="2"/>
        <x:v>69118250</x:v>
      </x:c>
      <x:c r="F94" s="2" t="n">
        <x:f>E94/Assumptions!$B$5/3600</x:f>
        <x:v>19.199513888888887</x:v>
      </x:c>
    </x:row>
    <x:row r="95" ht="15.75" customHeight="1">
      <x:c r="A95" s="2">
        <x:v>94.0</x:v>
      </x:c>
      <x:c r="B95" s="2">
        <x:f t="shared" si="1"/>
        <x:v>470</x:v>
      </x:c>
      <x:c r="C95" s="2" t="n">
        <x:f>Assumptions!$B$6*A95^2*(1+Assumptions!$B$7*(A95/100)^Assumptions!$B$8)</x:f>
        <x:v>4356036.863990708</x:v>
      </x:c>
      <x:c r="D95" s="2">
        <x:v>4400000.0</x:v>
      </x:c>
      <x:c r="E95" s="2">
        <x:f t="shared" si="2"/>
        <x:v>73518250</x:v>
      </x:c>
      <x:c r="F95" s="2" t="n">
        <x:f>E95/Assumptions!$B$5/3600</x:f>
        <x:v>20.421736111111112</x:v>
      </x:c>
    </x:row>
    <x:row r="96" ht="15.75" customHeight="1">
      <x:c r="A96" s="2">
        <x:v>95.0</x:v>
      </x:c>
      <x:c r="B96" s="2">
        <x:f t="shared" si="1"/>
        <x:v>475</x:v>
      </x:c>
      <x:c r="C96" s="2" t="n">
        <x:f>Assumptions!$B$6*A96^2*(1+Assumptions!$B$7*(A96/100)^Assumptions!$B$8)</x:f>
        <x:v>4593837.317600816</x:v>
      </x:c>
      <x:c r="D96" s="2">
        <x:v>4600000.0</x:v>
      </x:c>
      <x:c r="E96" s="2">
        <x:f t="shared" si="2"/>
        <x:v>78118250</x:v>
      </x:c>
      <x:c r="F96" s="2" t="n">
        <x:f>E96/Assumptions!$B$5/3600</x:f>
        <x:v>21.699513888888887</x:v>
      </x:c>
    </x:row>
    <x:row r="97" ht="15.75" customHeight="1">
      <x:c r="A97" s="2">
        <x:v>96.0</x:v>
      </x:c>
      <x:c r="B97" s="2">
        <x:f t="shared" si="1"/>
        <x:v>480</x:v>
      </x:c>
      <x:c r="C97" s="2" t="n">
        <x:f>Assumptions!$B$6*A97^2*(1+Assumptions!$B$7*(A97/100)^Assumptions!$B$8)</x:f>
        <x:v>4842284.888021373</x:v>
      </x:c>
      <x:c r="D97" s="2">
        <x:v>4900000.0</x:v>
      </x:c>
      <x:c r="E97" s="2">
        <x:f t="shared" si="2"/>
        <x:v>83018250</x:v>
      </x:c>
      <x:c r="F97" s="2" t="n">
        <x:f>E97/Assumptions!$B$5/3600</x:f>
        <x:v>23.060625</x:v>
      </x:c>
    </x:row>
    <x:row r="98" ht="15.75" customHeight="1">
      <x:c r="A98" s="2">
        <x:v>97.0</x:v>
      </x:c>
      <x:c r="B98" s="2">
        <x:f t="shared" si="1"/>
        <x:v>485</x:v>
      </x:c>
      <x:c r="C98" s="2" t="n">
        <x:f>Assumptions!$B$6*A98^2*(1+Assumptions!$B$7*(A98/100)^Assumptions!$B$8)</x:f>
        <x:v>5101745.712530044</x:v>
      </x:c>
      <x:c r="D98" s="2">
        <x:v>5100000.0</x:v>
      </x:c>
      <x:c r="E98" s="2">
        <x:f t="shared" si="2"/>
        <x:v>88118250</x:v>
      </x:c>
      <x:c r="F98" s="2" t="n">
        <x:f>E98/Assumptions!$B$5/3600</x:f>
        <x:v>24.477291666666666</x:v>
      </x:c>
    </x:row>
    <x:row r="99" ht="15.75" customHeight="1">
      <x:c r="A99" s="2">
        <x:v>98.0</x:v>
      </x:c>
      <x:c r="B99" s="2">
        <x:f t="shared" si="1"/>
        <x:v>490</x:v>
      </x:c>
      <x:c r="C99" s="2" t="n">
        <x:f>Assumptions!$B$6*A99^2*(1+Assumptions!$B$7*(A99/100)^Assumptions!$B$8)</x:f>
        <x:v>5372594.610881372</x:v>
      </x:c>
      <x:c r="D99" s="2">
        <x:v>5400000.0</x:v>
      </x:c>
      <x:c r="E99" s="2">
        <x:f t="shared" si="2"/>
        <x:v>93518250</x:v>
      </x:c>
      <x:c r="F99" s="2" t="n">
        <x:f>E99/Assumptions!$B$5/3600</x:f>
        <x:v>25.977291666666666</x:v>
      </x:c>
    </x:row>
    <x:row r="100" ht="15.75" customHeight="1">
      <x:c r="A100" s="2">
        <x:v>99.0</x:v>
      </x:c>
      <x:c r="B100" s="2">
        <x:f t="shared" si="1"/>
        <x:v>495</x:v>
      </x:c>
      <x:c r="C100" s="2" t="n">
        <x:f>Assumptions!$B$6*A100^2*(1+Assumptions!$B$7*(A100/100)^Assumptions!$B$8)</x:f>
        <x:v>5655215.1985056605</x:v>
      </x:c>
      <x:c r="D100" s="2">
        <x:v>5700000.0</x:v>
      </x:c>
      <x:c r="E100" s="2">
        <x:f t="shared" si="2"/>
        <x:v>99218250</x:v>
      </x:c>
      <x:c r="F100" s="2" t="n">
        <x:f>E100/Assumptions!$B$5/3600</x:f>
        <x:v>27.560625</x:v>
      </x:c>
    </x:row>
    <x:row r="101" ht="15.75" customHeight="1">
      <x:c r="A101" s="2">
        <x:v>100.0</x:v>
      </x:c>
      <x:c r="B101" s="2">
        <x:f t="shared" si="1"/>
        <x:v>500</x:v>
      </x:c>
      <x:c r="C101" s="2" t="n">
        <x:f>Assumptions!$B$6*A101^2*(1+Assumptions!$B$7*(A101/100)^Assumptions!$B$8)</x:f>
        <x:v>5950000</x:v>
      </x:c>
      <x:c r="D101" s="2">
        <x:v>6000000.0</x:v>
      </x:c>
      <x:c r="E101" s="2">
        <x:f t="shared" si="2"/>
        <x:v>105218250</x:v>
      </x:c>
      <x:c r="F101" s="2" t="n">
        <x:f>E101/Assumptions!$B$5/3600</x:f>
        <x:v>29.227291666666666</x:v>
      </x:c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3" width="14" customWidth="1"/>
    <x:col min="4" max="4" width="18" customWidth="1"/>
  </x:cols>
  <x:sheetData>
    <x:row r="1">
      <x:c r="A1" s="1" t="s">
        <x:v>151</x:v>
      </x:c>
      <x:c r="B1" s="1" t="s">
        <x:v>152</x:v>
      </x:c>
      <x:c r="C1" s="1" t="s">
        <x:v>153</x:v>
      </x:c>
      <x:c r="D1" s="1" t="s">
        <x:v>149</x:v>
      </x:c>
    </x:row>
    <x:row r="2">
      <x:c r="A2" s="2">
        <x:v>1.0</x:v>
      </x:c>
      <x:c r="B2" s="2" t="s">
        <x:v>154</x:v>
      </x:c>
      <x:c r="C2" s="2">
        <x:v>10000.0</x:v>
      </x:c>
      <x:c r="D2" s="2" t="n">
        <x:f t="shared" ref="D2:D5" si="1">SUM($C$2:C2)</x:f>
        <x:v>10000</x:v>
      </x:c>
    </x:row>
    <x:row r="3">
      <x:c r="A3" s="2">
        <x:v>2.0</x:v>
      </x:c>
      <x:c r="B3" s="2" t="s">
        <x:v>155</x:v>
      </x:c>
      <x:c r="C3" s="2">
        <x:v>150000.0</x:v>
      </x:c>
      <x:c r="D3" s="2">
        <x:f t="shared" si="1"/>
        <x:v>160000</x:v>
      </x:c>
    </x:row>
    <x:row r="4">
      <x:c r="A4" s="2">
        <x:v>3.0</x:v>
      </x:c>
      <x:c r="B4" s="2" t="s">
        <x:v>156</x:v>
      </x:c>
      <x:c r="C4" s="2">
        <x:v>1000000.0</x:v>
      </x:c>
      <x:c r="D4" s="2">
        <x:f t="shared" si="1"/>
        <x:v>1160000</x:v>
      </x:c>
    </x:row>
    <x:row r="5">
      <x:c r="A5" s="2">
        <x:v>4.0</x:v>
      </x:c>
      <x:c r="B5" s="2" t="s">
        <x:v>157</x:v>
      </x:c>
      <x:c r="C5" s="2">
        <x:v>5000000.0</x:v>
      </x:c>
      <x:c r="D5" s="2">
        <x:f t="shared" si="1"/>
        <x:v>6160000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14" customWidth="1"/>
    <x:col min="3" max="3" width="16" customWidth="1"/>
    <x:col min="4" max="5" width="18" customWidth="1"/>
    <x:col min="6" max="6" width="15" customWidth="1"/>
    <x:col min="7" max="7" width="16" customWidth="1"/>
    <x:col min="8" max="8" width="14" customWidth="1"/>
  </x:cols>
  <x:sheetData>
    <x:row r="1">
      <x:c r="A1" s="1" t="s">
        <x:v>158</x:v>
      </x:c>
      <x:c r="B1" s="1" t="s">
        <x:v>159</x:v>
      </x:c>
      <x:c r="C1" s="1" t="s">
        <x:v>160</x:v>
      </x:c>
      <x:c r="D1" s="1" t="s">
        <x:v>161</x:v>
      </x:c>
      <x:c r="E1" s="1" t="s">
        <x:v>162</x:v>
      </x:c>
      <x:c r="F1" s="1" t="s">
        <x:v>163</x:v>
      </x:c>
      <x:c r="G1" s="1" t="s">
        <x:v>164</x:v>
      </x:c>
      <x:c r="H1" s="1" t="s">
        <x:v>165</x:v>
      </x:c>
    </x:row>
    <x:row r="2">
      <x:c r="A2" s="2">
        <x:v>1.0</x:v>
      </x:c>
      <x:c r="B2" s="4">
        <x:v>25000.0</x:v>
      </x:c>
      <x:c r="C2" s="2">
        <x:v>1.0</x:v>
      </x:c>
      <x:c r="D2" s="2" t="str">
        <x:v>Golden Retriver</x:v>
      </x:c>
      <x:c r="E2" s="2">
        <x:v>24.0</x:v>
      </x:c>
      <x:c r="F2" s="4">
        <x:v>0.25</x:v>
      </x:c>
      <x:c r="G2" s="2" t="n">
        <x:f t="shared" ref="G2:G7" si="1">C2*E2*F2*3600</x:f>
        <x:v>21600</x:v>
      </x:c>
      <x:c r="H2" s="2" t="n">
        <x:f t="shared" ref="H2:H7" si="2">B2-G2</x:f>
        <x:v>3400</x:v>
      </x:c>
    </x:row>
    <x:row r="3">
      <x:c r="A3" s="2">
        <x:v>2.0</x:v>
      </x:c>
      <x:c r="B3" s="4">
        <x:v>250000.0</x:v>
      </x:c>
      <x:c r="C3" s="2">
        <x:v>2.0</x:v>
      </x:c>
      <x:c r="D3" s="2" t="s">
        <x:v>166</x:v>
      </x:c>
      <x:c r="E3" s="2">
        <x:v>40.0</x:v>
      </x:c>
      <x:c r="F3" s="4">
        <x:v>1.0</x:v>
      </x:c>
      <x:c r="G3" s="2">
        <x:f t="shared" si="1"/>
        <x:v>288000</x:v>
      </x:c>
      <x:c r="H3" s="2">
        <x:f t="shared" si="2"/>
        <x:v>-38000</x:v>
      </x:c>
    </x:row>
    <x:row r="4">
      <x:c r="A4" s="2">
        <x:v>3.0</x:v>
      </x:c>
      <x:c r="B4" s="4">
        <x:v>3500000.0</x:v>
      </x:c>
      <x:c r="C4" s="2">
        <x:v>3.0</x:v>
      </x:c>
      <x:c r="D4" s="2" t="s">
        <x:v>167</x:v>
      </x:c>
      <x:c r="E4" s="2">
        <x:v>113.0</x:v>
      </x:c>
      <x:c r="F4" s="4">
        <x:v>3.0</x:v>
      </x:c>
      <x:c r="G4" s="2">
        <x:f t="shared" si="1"/>
        <x:v>3661200</x:v>
      </x:c>
      <x:c r="H4" s="2">
        <x:f t="shared" si="2"/>
        <x:v>-161200</x:v>
      </x:c>
    </x:row>
    <x:row r="5">
      <x:c r="A5" s="2">
        <x:v>4.0</x:v>
      </x:c>
      <x:c r="B5" s="2">
        <x:v>2.0E7</x:v>
      </x:c>
      <x:c r="C5" s="2">
        <x:v>4.0</x:v>
      </x:c>
      <x:c r="D5" s="2" t="s">
        <x:v>168</x:v>
      </x:c>
      <x:c r="E5" s="2">
        <x:v>228.0</x:v>
      </x:c>
      <x:c r="F5" s="2">
        <x:v>6.0</x:v>
      </x:c>
      <x:c r="G5" s="2">
        <x:f t="shared" si="1"/>
        <x:v>19699200</x:v>
      </x:c>
      <x:c r="H5" s="2">
        <x:f t="shared" si="2"/>
        <x:v>300800</x:v>
      </x:c>
    </x:row>
    <x:row r="6">
      <x:c r="A6" s="2">
        <x:v>5.0</x:v>
      </x:c>
      <x:c r="B6" s="2">
        <x:v>5.0E7</x:v>
      </x:c>
      <x:c r="C6" s="2">
        <x:v>5.0</x:v>
      </x:c>
      <x:c r="D6" s="2" t="s">
        <x:v>169</x:v>
      </x:c>
      <x:c r="E6" s="2">
        <x:v>395.0</x:v>
      </x:c>
      <x:c r="F6" s="2">
        <x:v>8.0</x:v>
      </x:c>
      <x:c r="G6" s="2">
        <x:f t="shared" si="1"/>
        <x:v>56880000</x:v>
      </x:c>
      <x:c r="H6" s="2">
        <x:f t="shared" si="2"/>
        <x:v>-6880000</x:v>
      </x:c>
    </x:row>
    <x:row r="7">
      <x:c r="A7" s="2">
        <x:v>6.0</x:v>
      </x:c>
      <x:c r="B7" s="2">
        <x:v>2.0E8</x:v>
      </x:c>
      <x:c r="C7" s="2">
        <x:v>6.0</x:v>
      </x:c>
      <x:c r="D7" s="2" t="s">
        <x:v>170</x:v>
      </x:c>
      <x:c r="E7" s="2">
        <x:v>800.0</x:v>
      </x:c>
      <x:c r="F7" s="2">
        <x:v>10.0</x:v>
      </x:c>
      <x:c r="G7" s="2">
        <x:f t="shared" si="1"/>
        <x:v>172800000</x:v>
      </x:c>
      <x:c r="H7" s="2">
        <x:f t="shared" si="2"/>
        <x:v>27200000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