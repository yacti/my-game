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Assumptions" sheetId="2" r:id="rId2"/>
    <sheet name="Feeds" sheetId="3" r:id="rId3"/>
    <sheet name="Pets" sheetId="4" r:id="rId4"/>
    <sheet name="Seeds" sheetId="5" r:id="rId5"/>
    <sheet name="LuckUpgrades" sheetId="6" r:id="rId6"/>
    <sheet name="RollPads" sheetId="7" r:id="rId7"/>
    <sheet name="Rebirths" sheetId="8" r:id="rId8"/>
  </sheets>
  <calcPr calcId="191029" fullCalcOnLoad="1" forceFullCalc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1"/>
  <sheetViews>
    <sheetView workbookViewId="0">
      <pane ySplit="1" topLeftCell="A2" activePane="bottomLeft" state="frozen"/>
    </sheetView>
  </sheetViews>
  <cols>
    <col min="1" max="1" width="36" customWidth="1"/>
  </cols>
  <sheetData>
    <row r="1">
      <c r="A1" t="inlineStr" s="1">
        <is>
          <t>Game Balance Workbook</t>
        </is>
      </c>
    </row>
    <row r="2">
      <c r="A2" t="inlineStr">
        <is>
          <t>Edit yellow/current-value columns to rebalance. Formula columns recalculate in Excel.</t>
        </is>
      </c>
    </row>
    <row r="3">
      <c r="A3" t="inlineStr">
        <is>
          <t>Sheets</t>
        </is>
      </c>
    </row>
    <row r="4">
      <c r="A4" t="inlineStr">
        <is>
          <t>Assumptions: global knobs used by formulas.</t>
        </is>
      </c>
    </row>
    <row r="5">
      <c r="A5" t="inlineStr">
        <is>
          <t>Feeds: feed XP, grow rates, and effective XP/min.</t>
        </is>
      </c>
    </row>
    <row r="6">
      <c r="A6" t="inlineStr">
        <is>
          <t>Pets: pet earnings, MaxXP, feed mapping, and calculated evolution minutes.</t>
        </is>
      </c>
    </row>
    <row r="7">
      <c r="A7" t="inlineStr">
        <is>
          <t>Seeds: roll rarity/chance/price plus formula price helpers.</t>
        </is>
      </c>
    </row>
    <row r="8">
      <c r="A8" t="inlineStr">
        <is>
          <t>LuckUpgrades: 100-level luck curve, raw formula, current prices, cumulative cost.</t>
        </is>
      </c>
    </row>
    <row r="9">
      <c r="A9" t="inlineStr">
        <is>
          <t>RollPads: roll-pad upgrade costs.</t>
        </is>
      </c>
    </row>
    <row r="10">
      <c r="A10" t="inlineStr">
        <is>
          <t>Rebirths: rebirth costs and anchor formula checks.</t>
        </is>
      </c>
    </row>
    <row r="11">
      <c r="A11" t="inlineStr">
        <is>
          <t>Note: RollChanceN is displayed raw in roll UI as "1 in N".</t>
        </is>
      </c>
    </row>
  </sheetData>
  <autoFilter ref="A1:A1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>
      <pane ySplit="1" topLeftCell="A2" activePane="bottomLeft" state="frozen"/>
    </sheetView>
  </sheetViews>
  <cols>
    <col min="1" max="1" width="26" customWidth="1"/>
    <col min="2" max="2" width="14" customWidth="1"/>
    <col min="3" max="3" width="72" customWidth="1"/>
  </cols>
  <sheetData>
    <row r="1">
      <c r="A1" t="inlineStr" s="1">
        <is>
          <t>Key</t>
        </is>
      </c>
      <c r="B1" t="inlineStr" s="1">
        <is>
          <t>Value</t>
        </is>
      </c>
      <c r="C1" t="inlineStr" s="1">
        <is>
          <t>Description</t>
        </is>
      </c>
    </row>
    <row r="2">
      <c r="A2" t="inlineStr">
        <is>
          <t>SeedMinutesRequired</t>
        </is>
      </c>
      <c r="B2">
        <v>3</v>
      </c>
      <c r="C2" t="inlineStr">
        <is>
          <t>Default minutes used by seed formula price helper.</t>
        </is>
      </c>
    </row>
    <row r="3">
      <c r="A3" t="inlineStr">
        <is>
          <t>TreeHarvestsPerSecond</t>
        </is>
      </c>
      <c r="B3">
        <v>1</v>
      </c>
      <c r="C3" t="inlineStr">
        <is>
          <t>Tree effective XP/min assumes this many harvested fruits per second.</t>
        </is>
      </c>
    </row>
    <row r="4">
      <c r="A4" t="inlineStr">
        <is>
          <t>PatchDefaultGrowRate</t>
        </is>
      </c>
      <c r="B4">
        <v>1</v>
      </c>
      <c r="C4" t="inlineStr">
        <is>
          <t>Patches currently tick every second.</t>
        </is>
      </c>
    </row>
    <row r="5">
      <c r="A5" t="inlineStr">
        <is>
          <t>EndgameIncomePerSecond</t>
        </is>
      </c>
      <c r="B5">
        <v>1000</v>
      </c>
      <c r="C5" t="inlineStr">
        <is>
          <t>Used for upgrade hour estimates.</t>
        </is>
      </c>
    </row>
    <row r="6">
      <c r="A6" t="inlineStr">
        <is>
          <t>LuckRawA</t>
        </is>
      </c>
      <c r="B6">
        <v>35</v>
      </c>
      <c r="C6" t="inlineStr">
        <is>
          <t>Raw luck formula coefficient.</t>
        </is>
      </c>
    </row>
    <row r="7">
      <c r="A7" t="inlineStr">
        <is>
          <t>LuckRawB</t>
        </is>
      </c>
      <c r="B7">
        <v>16</v>
      </c>
      <c r="C7" t="inlineStr">
        <is>
          <t>Raw luck formula cubic multiplier.</t>
        </is>
      </c>
    </row>
    <row r="8">
      <c r="A8" t="inlineStr">
        <is>
          <t>LuckRawExponent</t>
        </is>
      </c>
      <c r="B8">
        <v>3.25</v>
      </c>
      <c r="C8" t="inlineStr">
        <is>
          <t>Raw luck formula exponent.</t>
        </is>
      </c>
    </row>
  </sheetData>
  <autoFilter ref="A1:C8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>
      <pane ySplit="1" topLeftCell="A2" activePane="bottomLeft" state="frozen"/>
    </sheetView>
  </sheetViews>
  <cols>
    <col min="1" max="1" width="24" customWidth="1"/>
    <col min="2" max="2" width="14" customWidth="1"/>
    <col min="3" max="3" width="12" customWidth="1"/>
    <col min="4" max="4" width="18" customWidth="1"/>
    <col min="5" max="5" width="22" customWidth="1"/>
    <col min="6" max="6" width="32" customWidth="1"/>
  </cols>
  <sheetData>
    <row r="1">
      <c r="A1" t="inlineStr" s="1">
        <is>
          <t>FeedType</t>
        </is>
      </c>
      <c r="B1" t="inlineStr" s="1">
        <is>
          <t>FeedClass</t>
        </is>
      </c>
      <c r="C1" t="inlineStr" s="1">
        <is>
          <t>XP</t>
        </is>
      </c>
      <c r="D1" t="inlineStr" s="1">
        <is>
          <t>GrowRateSeconds</t>
        </is>
      </c>
      <c r="E1" t="inlineStr" s="1">
        <is>
          <t>EffectiveXPPerMinute</t>
        </is>
      </c>
      <c r="F1" t="inlineStr" s="1">
        <is>
          <t>Notes</t>
        </is>
      </c>
    </row>
    <row r="2">
      <c r="A2" t="inlineStr">
        <is>
          <t>PumpkinPatch</t>
        </is>
      </c>
      <c r="B2" t="inlineStr">
        <is>
          <t>Patch</t>
        </is>
      </c>
      <c r="C2">
        <v>1</v>
      </c>
      <c r="D2">
        <v>1</v>
      </c>
      <c r="E2">
        <f>IF(B2="Patch",C2*60/D2,C2*Assumptions!$B$3*60)</f>
      </c>
      <c r="F2" t="inlineStr">
        <is>
          <t>starter patch</t>
        </is>
      </c>
    </row>
    <row r="3">
      <c r="A3" t="inlineStr">
        <is>
          <t>CabbagePatch</t>
        </is>
      </c>
      <c r="B3" t="inlineStr">
        <is>
          <t>Patch</t>
        </is>
      </c>
      <c r="C3">
        <v>2</v>
      </c>
      <c r="D3">
        <v>1</v>
      </c>
      <c r="E3">
        <f>IF(B3="Patch",C3*60/D3,C3*Assumptions!$B$3*60)</f>
      </c>
      <c r="F3" t="inlineStr">
        <is>
          <t>early patch</t>
        </is>
      </c>
    </row>
    <row r="4">
      <c r="A4" t="inlineStr">
        <is>
          <t>AppleTree</t>
        </is>
      </c>
      <c r="B4" t="inlineStr">
        <is>
          <t>Tree</t>
        </is>
      </c>
      <c r="C4">
        <v>2</v>
      </c>
      <c r="D4"/>
      <c r="E4">
        <f>IF(B4="Patch",C4*60/D4,C4*Assumptions!$B$3*60)</f>
      </c>
      <c r="F4" t="inlineStr">
        <is>
          <t>tree fruit XP</t>
        </is>
      </c>
    </row>
    <row r="5">
      <c r="A5" t="inlineStr">
        <is>
          <t>PotatoPatch</t>
        </is>
      </c>
      <c r="B5" t="inlineStr">
        <is>
          <t>Patch</t>
        </is>
      </c>
      <c r="C5">
        <v>3</v>
      </c>
      <c r="D5">
        <v>1</v>
      </c>
      <c r="E5">
        <f>IF(B5="Patch",C5*60/D5,C5*Assumptions!$B$3*60)</f>
      </c>
      <c r="F5"/>
    </row>
    <row r="6">
      <c r="A6" t="inlineStr">
        <is>
          <t>OrangeTree</t>
        </is>
      </c>
      <c r="B6" t="inlineStr">
        <is>
          <t>Tree</t>
        </is>
      </c>
      <c r="C6">
        <v>4</v>
      </c>
      <c r="D6"/>
      <c r="E6">
        <f>IF(B6="Patch",C6*60/D6,C6*Assumptions!$B$3*60)</f>
      </c>
      <c r="F6"/>
    </row>
    <row r="7">
      <c r="A7" t="inlineStr">
        <is>
          <t>WatermelonPatch</t>
        </is>
      </c>
      <c r="B7" t="inlineStr">
        <is>
          <t>Patch</t>
        </is>
      </c>
      <c r="C7">
        <v>7</v>
      </c>
      <c r="D7">
        <v>1</v>
      </c>
      <c r="E7">
        <f>IF(B7="Patch",C7*60/D7,C7*Assumptions!$B$3*60)</f>
      </c>
      <c r="F7"/>
    </row>
    <row r="8">
      <c r="A8" t="inlineStr">
        <is>
          <t>PlumTree</t>
        </is>
      </c>
      <c r="B8" t="inlineStr">
        <is>
          <t>Tree</t>
        </is>
      </c>
      <c r="C8">
        <v>12</v>
      </c>
      <c r="D8"/>
      <c r="E8">
        <f>IF(B8="Patch",C8*60/D8,C8*Assumptions!$B$3*60)</f>
      </c>
      <c r="F8"/>
    </row>
    <row r="9">
      <c r="A9" t="inlineStr">
        <is>
          <t>CornPatch</t>
        </is>
      </c>
      <c r="B9" t="inlineStr">
        <is>
          <t>Patch</t>
        </is>
      </c>
      <c r="C9">
        <v>18</v>
      </c>
      <c r="D9">
        <v>1</v>
      </c>
      <c r="E9">
        <f>IF(B9="Patch",C9*60/D9,C9*Assumptions!$B$3*60)</f>
      </c>
      <c r="F9"/>
    </row>
    <row r="10">
      <c r="A10" t="inlineStr">
        <is>
          <t>CherryTree</t>
        </is>
      </c>
      <c r="B10" t="inlineStr">
        <is>
          <t>Tree</t>
        </is>
      </c>
      <c r="C10">
        <v>30</v>
      </c>
      <c r="D10"/>
      <c r="E10">
        <f>IF(B10="Patch",C10*60/D10,C10*Assumptions!$B$3*60)</f>
      </c>
      <c r="F10"/>
    </row>
    <row r="11">
      <c r="A11" t="inlineStr">
        <is>
          <t>MushroomPatch</t>
        </is>
      </c>
      <c r="B11" t="inlineStr">
        <is>
          <t>Patch</t>
        </is>
      </c>
      <c r="C11">
        <v>48</v>
      </c>
      <c r="D11">
        <v>1</v>
      </c>
      <c r="E11">
        <f>IF(B11="Patch",C11*60/D11,C11*Assumptions!$B$3*60)</f>
      </c>
      <c r="F11"/>
    </row>
    <row r="12">
      <c r="A12" t="inlineStr">
        <is>
          <t>BananaTree</t>
        </is>
      </c>
      <c r="B12" t="inlineStr">
        <is>
          <t>Tree</t>
        </is>
      </c>
      <c r="C12">
        <v>80</v>
      </c>
      <c r="D12"/>
      <c r="E12">
        <f>IF(B12="Patch",C12*60/D12,C12*Assumptions!$B$3*60)</f>
      </c>
      <c r="F12"/>
    </row>
    <row r="13">
      <c r="A13" t="inlineStr">
        <is>
          <t>Cactus</t>
        </is>
      </c>
      <c r="B13" t="inlineStr">
        <is>
          <t>Tree</t>
        </is>
      </c>
      <c r="C13">
        <v>130</v>
      </c>
      <c r="D13"/>
      <c r="E13">
        <f>IF(B13="Patch",C13*60/D13,C13*Assumptions!$B$3*60)</f>
      </c>
      <c r="F13"/>
    </row>
    <row r="14">
      <c r="A14" t="inlineStr">
        <is>
          <t>PineapplePatch</t>
        </is>
      </c>
      <c r="B14" t="inlineStr">
        <is>
          <t>Patch</t>
        </is>
      </c>
      <c r="C14">
        <v>217</v>
      </c>
      <c r="D14">
        <v>1</v>
      </c>
      <c r="E14">
        <f>IF(B14="Patch",C14*60/D14,C14*Assumptions!$B$3*60)</f>
      </c>
      <c r="F14"/>
    </row>
    <row r="15">
      <c r="A15" t="inlineStr">
        <is>
          <t>FigTree</t>
        </is>
      </c>
      <c r="B15" t="inlineStr">
        <is>
          <t>Tree</t>
        </is>
      </c>
      <c r="C15">
        <v>370</v>
      </c>
      <c r="D15"/>
      <c r="E15">
        <f>IF(B15="Patch",C15*60/D15,C15*Assumptions!$B$3*60)</f>
      </c>
      <c r="F15"/>
    </row>
    <row r="16">
      <c r="A16" t="inlineStr">
        <is>
          <t>PurpleShroomPatch</t>
        </is>
      </c>
      <c r="B16" t="inlineStr">
        <is>
          <t>Patch</t>
        </is>
      </c>
      <c r="C16">
        <v>633</v>
      </c>
      <c r="D16">
        <v>1</v>
      </c>
      <c r="E16">
        <f>IF(B16="Patch",C16*60/D16,C16*Assumptions!$B$3*60)</f>
      </c>
      <c r="F16"/>
    </row>
    <row r="17">
      <c r="A17" t="inlineStr">
        <is>
          <t>BloodOrangeTree</t>
        </is>
      </c>
      <c r="B17" t="inlineStr">
        <is>
          <t>Tree</t>
        </is>
      </c>
      <c r="C17">
        <v>1100</v>
      </c>
      <c r="D17"/>
      <c r="E17">
        <f>IF(B17="Patch",C17*60/D17,C17*Assumptions!$B$3*60)</f>
      </c>
      <c r="F17"/>
    </row>
    <row r="18">
      <c r="A18" t="inlineStr">
        <is>
          <t>GlowshroomPatch</t>
        </is>
      </c>
      <c r="B18" t="inlineStr">
        <is>
          <t>Patch</t>
        </is>
      </c>
      <c r="C18">
        <v>1933</v>
      </c>
      <c r="D18">
        <v>1</v>
      </c>
      <c r="E18">
        <f>IF(B18="Patch",C18*60/D18,C18*Assumptions!$B$3*60)</f>
      </c>
      <c r="F18"/>
    </row>
    <row r="19">
      <c r="A19" t="inlineStr">
        <is>
          <t>DragonfruitTree</t>
        </is>
      </c>
      <c r="B19" t="inlineStr">
        <is>
          <t>Tree</t>
        </is>
      </c>
      <c r="C19">
        <v>3350</v>
      </c>
      <c r="D19"/>
      <c r="E19">
        <f>IF(B19="Patch",C19*60/D19,C19*Assumptions!$B$3*60)</f>
      </c>
      <c r="F19"/>
    </row>
    <row r="20">
      <c r="A20" t="inlineStr">
        <is>
          <t>GoldenAppleTree</t>
        </is>
      </c>
      <c r="B20" t="inlineStr">
        <is>
          <t>Tree</t>
        </is>
      </c>
      <c r="C20">
        <v>5700</v>
      </c>
      <c r="D20"/>
      <c r="E20">
        <f>IF(B20="Patch",C20*60/D20,C20*Assumptions!$B$3*60)</f>
      </c>
      <c r="F20"/>
    </row>
    <row r="21">
      <c r="A21" t="inlineStr">
        <is>
          <t>DurianTree</t>
        </is>
      </c>
      <c r="B21" t="inlineStr">
        <is>
          <t>Tree</t>
        </is>
      </c>
      <c r="C21">
        <v>10000</v>
      </c>
      <c r="D21"/>
      <c r="E21">
        <f>IF(B21="Patch",C21*60/D21,C21*Assumptions!$B$3*60)</f>
      </c>
      <c r="F21"/>
    </row>
  </sheetData>
  <autoFilter ref="A1:F21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4"/>
  <sheetViews>
    <sheetView workbookViewId="0">
      <pane ySplit="1" topLeftCell="A2" activePane="bottomLeft" state="frozen"/>
    </sheetView>
  </sheetViews>
  <cols>
    <col min="1" max="1" width="8" customWidth="1"/>
    <col min="2" max="2" width="10" customWidth="1"/>
    <col min="3" max="3" width="20" customWidth="1"/>
    <col min="4" max="4" width="14" customWidth="1"/>
    <col min="5" max="5" width="20" customWidth="1"/>
    <col min="6" max="6" width="14" customWidth="1"/>
    <col min="7" max="7" width="22" customWidth="1"/>
    <col min="8" max="8" width="18" customWidth="1"/>
    <col min="9" max="9" width="22" customWidth="1"/>
    <col min="10" max="10" width="12" customWidth="1"/>
  </cols>
  <sheetData>
    <row r="1">
      <c r="A1" t="inlineStr" s="1">
        <is>
          <t>Order</t>
        </is>
      </c>
      <c r="B1" t="inlineStr" s="1">
        <is>
          <t>PetID</t>
        </is>
      </c>
      <c r="C1" t="inlineStr" s="1">
        <is>
          <t>DisplayName</t>
        </is>
      </c>
      <c r="D1" t="inlineStr" s="1">
        <is>
          <t>Rarity</t>
        </is>
      </c>
      <c r="E1" t="inlineStr" s="1">
        <is>
          <t>MoneyRatePerSecond</t>
        </is>
      </c>
      <c r="F1" t="inlineStr" s="1">
        <is>
          <t>MaxXP</t>
        </is>
      </c>
      <c r="G1" t="inlineStr" s="1">
        <is>
          <t>EvolutionFeedType</t>
        </is>
      </c>
      <c r="H1" t="inlineStr" s="1">
        <is>
          <t>FeedXPPerMinute</t>
        </is>
      </c>
      <c r="I1" t="inlineStr" s="1">
        <is>
          <t>ApproxMinutesToNext</t>
        </is>
      </c>
      <c r="J1" t="inlineStr" s="1">
        <is>
          <t>NextPetID</t>
        </is>
      </c>
    </row>
    <row r="2">
      <c r="A2">
        <v>1</v>
      </c>
      <c r="B2" t="inlineStr">
        <is>
          <t>Pet1</t>
        </is>
      </c>
      <c r="C2" t="inlineStr">
        <is>
          <t>Chicken</t>
        </is>
      </c>
      <c r="D2" t="inlineStr">
        <is>
          <t>Common</t>
        </is>
      </c>
      <c r="E2">
        <v>1</v>
      </c>
      <c r="F2">
        <v>40</v>
      </c>
      <c r="G2" t="inlineStr">
        <is>
          <t>PumpkinPatch</t>
        </is>
      </c>
      <c r="H2">
        <f>IF(G2="","",VLOOKUP(G2,Feeds!$A:$E,5,FALSE))</f>
      </c>
      <c r="I2">
        <f>IF(OR(F2="",H2=""),"",ROUND(F2/H2,1))</f>
      </c>
      <c r="J2" t="inlineStr">
        <is>
          <t>Pet2</t>
        </is>
      </c>
    </row>
    <row r="3">
      <c r="A3">
        <v>2</v>
      </c>
      <c r="B3" t="inlineStr">
        <is>
          <t>Pet2</t>
        </is>
      </c>
      <c r="C3" t="inlineStr">
        <is>
          <t>Hamster</t>
        </is>
      </c>
      <c r="D3" t="inlineStr">
        <is>
          <t>Common</t>
        </is>
      </c>
      <c r="E3">
        <v>2</v>
      </c>
      <c r="F3">
        <v>60</v>
      </c>
      <c r="G3" t="inlineStr">
        <is>
          <t>PumpkinPatch</t>
        </is>
      </c>
      <c r="H3">
        <f>IF(G3="","",VLOOKUP(G3,Feeds!$A:$E,5,FALSE))</f>
      </c>
      <c r="I3">
        <f>IF(OR(F3="",H3=""),"",ROUND(F3/H3,1))</f>
      </c>
      <c r="J3" t="inlineStr">
        <is>
          <t>Pet3</t>
        </is>
      </c>
    </row>
    <row r="4">
      <c r="A4">
        <v>3</v>
      </c>
      <c r="B4" t="inlineStr">
        <is>
          <t>Pet3</t>
        </is>
      </c>
      <c r="C4" t="inlineStr">
        <is>
          <t>GuiennaPig</t>
        </is>
      </c>
      <c r="D4" t="inlineStr">
        <is>
          <t>Common</t>
        </is>
      </c>
      <c r="E4">
        <v>3</v>
      </c>
      <c r="F4">
        <v>80</v>
      </c>
      <c r="G4" t="inlineStr">
        <is>
          <t>PumpkinPatch</t>
        </is>
      </c>
      <c r="H4">
        <f>IF(G4="","",VLOOKUP(G4,Feeds!$A:$E,5,FALSE))</f>
      </c>
      <c r="I4">
        <f>IF(OR(F4="",H4=""),"",ROUND(F4/H4,1))</f>
      </c>
      <c r="J4" t="inlineStr">
        <is>
          <t>Pet4</t>
        </is>
      </c>
    </row>
    <row r="5">
      <c r="A5">
        <v>4</v>
      </c>
      <c r="B5" t="inlineStr">
        <is>
          <t>Pet4</t>
        </is>
      </c>
      <c r="C5" t="inlineStr">
        <is>
          <t>Bunny</t>
        </is>
      </c>
      <c r="D5" t="inlineStr">
        <is>
          <t>Common</t>
        </is>
      </c>
      <c r="E5">
        <v>5</v>
      </c>
      <c r="F5">
        <v>150</v>
      </c>
      <c r="G5" t="inlineStr">
        <is>
          <t>CabbagePatch</t>
        </is>
      </c>
      <c r="H5">
        <f>IF(G5="","",VLOOKUP(G5,Feeds!$A:$E,5,FALSE))</f>
      </c>
      <c r="I5">
        <f>IF(OR(F5="",H5=""),"",ROUND(F5/H5,1))</f>
      </c>
      <c r="J5" t="inlineStr">
        <is>
          <t>Pet5</t>
        </is>
      </c>
    </row>
    <row r="6">
      <c r="A6">
        <v>5</v>
      </c>
      <c r="B6" t="inlineStr">
        <is>
          <t>Pet5</t>
        </is>
      </c>
      <c r="C6" t="inlineStr">
        <is>
          <t>Pigeon</t>
        </is>
      </c>
      <c r="D6" t="inlineStr">
        <is>
          <t>Common</t>
        </is>
      </c>
      <c r="E6">
        <v>6</v>
      </c>
      <c r="F6">
        <v>180</v>
      </c>
      <c r="G6" t="inlineStr">
        <is>
          <t>CabbagePatch</t>
        </is>
      </c>
      <c r="H6">
        <f>IF(G6="","",VLOOKUP(G6,Feeds!$A:$E,5,FALSE))</f>
      </c>
      <c r="I6">
        <f>IF(OR(F6="",H6=""),"",ROUND(F6/H6,1))</f>
      </c>
      <c r="J6" t="inlineStr">
        <is>
          <t>Pet6</t>
        </is>
      </c>
    </row>
    <row r="7">
      <c r="A7">
        <v>6</v>
      </c>
      <c r="B7" t="inlineStr">
        <is>
          <t>Pet6</t>
        </is>
      </c>
      <c r="C7" t="inlineStr">
        <is>
          <t>Parrot</t>
        </is>
      </c>
      <c r="D7" t="inlineStr">
        <is>
          <t>Common</t>
        </is>
      </c>
      <c r="E7">
        <v>8</v>
      </c>
      <c r="F7">
        <v>200</v>
      </c>
      <c r="G7" t="inlineStr">
        <is>
          <t>CabbagePatch</t>
        </is>
      </c>
      <c r="H7">
        <f>IF(G7="","",VLOOKUP(G7,Feeds!$A:$E,5,FALSE))</f>
      </c>
      <c r="I7">
        <f>IF(OR(F7="",H7=""),"",ROUND(F7/H7,1))</f>
      </c>
      <c r="J7" t="inlineStr">
        <is>
          <t>Pet7</t>
        </is>
      </c>
    </row>
    <row r="8">
      <c r="A8">
        <v>7</v>
      </c>
      <c r="B8" t="inlineStr">
        <is>
          <t>Pet7</t>
        </is>
      </c>
      <c r="C8" t="inlineStr">
        <is>
          <t>Owl</t>
        </is>
      </c>
      <c r="D8" t="inlineStr">
        <is>
          <t>Common</t>
        </is>
      </c>
      <c r="E8">
        <v>9</v>
      </c>
      <c r="F8">
        <v>500</v>
      </c>
      <c r="G8" t="inlineStr">
        <is>
          <t>AppleTree</t>
        </is>
      </c>
      <c r="H8">
        <f>IF(G8="","",VLOOKUP(G8,Feeds!$A:$E,5,FALSE))</f>
      </c>
      <c r="I8">
        <f>IF(OR(F8="",H8=""),"",ROUND(F8/H8,1))</f>
      </c>
      <c r="J8" t="inlineStr">
        <is>
          <t>Pet8</t>
        </is>
      </c>
    </row>
    <row r="9">
      <c r="A9">
        <v>8</v>
      </c>
      <c r="B9" t="inlineStr">
        <is>
          <t>Pet8</t>
        </is>
      </c>
      <c r="C9" t="inlineStr">
        <is>
          <t>Bat</t>
        </is>
      </c>
      <c r="D9" t="inlineStr">
        <is>
          <t>Common</t>
        </is>
      </c>
      <c r="E9">
        <v>11</v>
      </c>
      <c r="F9">
        <v>600</v>
      </c>
      <c r="G9" t="inlineStr">
        <is>
          <t>AppleTree</t>
        </is>
      </c>
      <c r="H9">
        <f>IF(G9="","",VLOOKUP(G9,Feeds!$A:$E,5,FALSE))</f>
      </c>
      <c r="I9">
        <f>IF(OR(F9="",H9=""),"",ROUND(F9/H9,1))</f>
      </c>
      <c r="J9" t="inlineStr">
        <is>
          <t>Pet9</t>
        </is>
      </c>
    </row>
    <row r="10">
      <c r="A10">
        <v>9</v>
      </c>
      <c r="B10" t="inlineStr">
        <is>
          <t>Pet9</t>
        </is>
      </c>
      <c r="C10" t="inlineStr">
        <is>
          <t>Cat</t>
        </is>
      </c>
      <c r="D10" t="inlineStr">
        <is>
          <t>Common</t>
        </is>
      </c>
      <c r="E10">
        <v>12</v>
      </c>
      <c r="F10">
        <v>850</v>
      </c>
      <c r="G10" t="inlineStr">
        <is>
          <t>PotatoPatch</t>
        </is>
      </c>
      <c r="H10">
        <f>IF(G10="","",VLOOKUP(G10,Feeds!$A:$E,5,FALSE))</f>
      </c>
      <c r="I10">
        <f>IF(OR(F10="",H10=""),"",ROUND(F10/H10,1))</f>
      </c>
      <c r="J10" t="inlineStr">
        <is>
          <t>Pet10</t>
        </is>
      </c>
    </row>
    <row r="11">
      <c r="A11">
        <v>10</v>
      </c>
      <c r="B11" t="inlineStr">
        <is>
          <t>Pet10</t>
        </is>
      </c>
      <c r="C11" t="inlineStr">
        <is>
          <t>Goat</t>
        </is>
      </c>
      <c r="D11" t="inlineStr">
        <is>
          <t>Common</t>
        </is>
      </c>
      <c r="E11">
        <v>14</v>
      </c>
      <c r="F11">
        <v>950</v>
      </c>
      <c r="G11" t="inlineStr">
        <is>
          <t>PotatoPatch</t>
        </is>
      </c>
      <c r="H11">
        <f>IF(G11="","",VLOOKUP(G11,Feeds!$A:$E,5,FALSE))</f>
      </c>
      <c r="I11">
        <f>IF(OR(F11="",H11=""),"",ROUND(F11/H11,1))</f>
      </c>
      <c r="J11" t="inlineStr">
        <is>
          <t>Pet11</t>
        </is>
      </c>
    </row>
    <row r="12">
      <c r="A12">
        <v>11</v>
      </c>
      <c r="B12" t="inlineStr">
        <is>
          <t>Pet11</t>
        </is>
      </c>
      <c r="C12" t="inlineStr">
        <is>
          <t>Cow</t>
        </is>
      </c>
      <c r="D12" t="inlineStr">
        <is>
          <t>Rare</t>
        </is>
      </c>
      <c r="E12">
        <v>15</v>
      </c>
      <c r="F12">
        <v>1200</v>
      </c>
      <c r="G12" t="inlineStr">
        <is>
          <t>PotatoPatch</t>
        </is>
      </c>
      <c r="H12">
        <f>IF(G12="","",VLOOKUP(G12,Feeds!$A:$E,5,FALSE))</f>
      </c>
      <c r="I12">
        <f>IF(OR(F12="",H12=""),"",ROUND(F12/H12,1))</f>
      </c>
      <c r="J12" t="inlineStr">
        <is>
          <t>Pet12</t>
        </is>
      </c>
    </row>
    <row r="13">
      <c r="A13">
        <v>12</v>
      </c>
      <c r="B13" t="inlineStr">
        <is>
          <t>Pet12</t>
        </is>
      </c>
      <c r="C13" t="inlineStr">
        <is>
          <t>Bull</t>
        </is>
      </c>
      <c r="D13" t="inlineStr">
        <is>
          <t>Rare</t>
        </is>
      </c>
      <c r="E13">
        <v>17</v>
      </c>
      <c r="F13">
        <v>2000</v>
      </c>
      <c r="G13" t="inlineStr">
        <is>
          <t>OrangeTree</t>
        </is>
      </c>
      <c r="H13">
        <f>IF(G13="","",VLOOKUP(G13,Feeds!$A:$E,5,FALSE))</f>
      </c>
      <c r="I13">
        <f>IF(OR(F13="",H13=""),"",ROUND(F13/H13,1))</f>
      </c>
      <c r="J13" t="inlineStr">
        <is>
          <t>Pet13</t>
        </is>
      </c>
    </row>
    <row r="14">
      <c r="A14">
        <v>13</v>
      </c>
      <c r="B14" t="inlineStr">
        <is>
          <t>Pet13</t>
        </is>
      </c>
      <c r="C14" t="inlineStr">
        <is>
          <t>Pony</t>
        </is>
      </c>
      <c r="D14" t="inlineStr">
        <is>
          <t>Rare</t>
        </is>
      </c>
      <c r="E14">
        <v>19</v>
      </c>
      <c r="F14">
        <v>2500</v>
      </c>
      <c r="G14" t="inlineStr">
        <is>
          <t>OrangeTree</t>
        </is>
      </c>
      <c r="H14">
        <f>IF(G14="","",VLOOKUP(G14,Feeds!$A:$E,5,FALSE))</f>
      </c>
      <c r="I14">
        <f>IF(OR(F14="",H14=""),"",ROUND(F14/H14,1))</f>
      </c>
      <c r="J14" t="inlineStr">
        <is>
          <t>Pet14</t>
        </is>
      </c>
    </row>
    <row r="15">
      <c r="A15">
        <v>14</v>
      </c>
      <c r="B15" t="inlineStr">
        <is>
          <t>Pet14</t>
        </is>
      </c>
      <c r="C15" t="inlineStr">
        <is>
          <t>Horse</t>
        </is>
      </c>
      <c r="D15" t="inlineStr">
        <is>
          <t>Rare</t>
        </is>
      </c>
      <c r="E15">
        <v>21</v>
      </c>
      <c r="F15">
        <v>4500</v>
      </c>
      <c r="G15" t="inlineStr">
        <is>
          <t>WatermelonPatch</t>
        </is>
      </c>
      <c r="H15">
        <f>IF(G15="","",VLOOKUP(G15,Feeds!$A:$E,5,FALSE))</f>
      </c>
      <c r="I15">
        <f>IF(OR(F15="",H15=""),"",ROUND(F15/H15,1))</f>
      </c>
      <c r="J15" t="inlineStr">
        <is>
          <t>Pet15</t>
        </is>
      </c>
    </row>
    <row r="16">
      <c r="A16">
        <v>15</v>
      </c>
      <c r="B16" t="inlineStr">
        <is>
          <t>Pet15</t>
        </is>
      </c>
      <c r="C16" t="inlineStr">
        <is>
          <t>GoldenRetriver</t>
        </is>
      </c>
      <c r="D16" t="inlineStr">
        <is>
          <t>Rare</t>
        </is>
      </c>
      <c r="E16">
        <v>24</v>
      </c>
      <c r="F16">
        <v>5000</v>
      </c>
      <c r="G16" t="inlineStr">
        <is>
          <t>WatermelonPatch</t>
        </is>
      </c>
      <c r="H16">
        <f>IF(G16="","",VLOOKUP(G16,Feeds!$A:$E,5,FALSE))</f>
      </c>
      <c r="I16">
        <f>IF(OR(F16="",H16=""),"",ROUND(F16/H16,1))</f>
      </c>
      <c r="J16" t="inlineStr">
        <is>
          <t>Pet16</t>
        </is>
      </c>
    </row>
    <row r="17">
      <c r="A17">
        <v>16</v>
      </c>
      <c r="B17" t="inlineStr">
        <is>
          <t>Pet16</t>
        </is>
      </c>
      <c r="C17" t="inlineStr">
        <is>
          <t>Llama</t>
        </is>
      </c>
      <c r="D17" t="inlineStr">
        <is>
          <t>Rare</t>
        </is>
      </c>
      <c r="E17">
        <v>27</v>
      </c>
      <c r="F17">
        <v>6000</v>
      </c>
      <c r="G17" t="inlineStr">
        <is>
          <t>WatermelonPatch</t>
        </is>
      </c>
      <c r="H17">
        <f>IF(G17="","",VLOOKUP(G17,Feeds!$A:$E,5,FALSE))</f>
      </c>
      <c r="I17">
        <f>IF(OR(F17="",H17=""),"",ROUND(F17/H17,1))</f>
      </c>
      <c r="J17" t="inlineStr">
        <is>
          <t>Pet17</t>
        </is>
      </c>
    </row>
    <row r="18">
      <c r="A18">
        <v>17</v>
      </c>
      <c r="B18" t="inlineStr">
        <is>
          <t>Pet17</t>
        </is>
      </c>
      <c r="C18" t="inlineStr">
        <is>
          <t>Capybara</t>
        </is>
      </c>
      <c r="D18" t="inlineStr">
        <is>
          <t>Rare</t>
        </is>
      </c>
      <c r="E18">
        <v>30</v>
      </c>
      <c r="F18">
        <v>11000</v>
      </c>
      <c r="G18" t="inlineStr">
        <is>
          <t>PlumTree</t>
        </is>
      </c>
      <c r="H18">
        <f>IF(G18="","",VLOOKUP(G18,Feeds!$A:$E,5,FALSE))</f>
      </c>
      <c r="I18">
        <f>IF(OR(F18="",H18=""),"",ROUND(F18/H18,1))</f>
      </c>
      <c r="J18" t="inlineStr">
        <is>
          <t>Pet18</t>
        </is>
      </c>
    </row>
    <row r="19">
      <c r="A19">
        <v>18</v>
      </c>
      <c r="B19" t="inlineStr">
        <is>
          <t>Pet18</t>
        </is>
      </c>
      <c r="C19" t="inlineStr">
        <is>
          <t>Koala</t>
        </is>
      </c>
      <c r="D19" t="inlineStr">
        <is>
          <t>Rare</t>
        </is>
      </c>
      <c r="E19">
        <v>33</v>
      </c>
      <c r="F19">
        <v>12000</v>
      </c>
      <c r="G19" t="inlineStr">
        <is>
          <t>PlumTree</t>
        </is>
      </c>
      <c r="H19">
        <f>IF(G19="","",VLOOKUP(G19,Feeds!$A:$E,5,FALSE))</f>
      </c>
      <c r="I19">
        <f>IF(OR(F19="",H19=""),"",ROUND(F19/H19,1))</f>
      </c>
      <c r="J19" t="inlineStr">
        <is>
          <t>Pet19</t>
        </is>
      </c>
    </row>
    <row r="20">
      <c r="A20">
        <v>19</v>
      </c>
      <c r="B20" t="inlineStr">
        <is>
          <t>Pet19</t>
        </is>
      </c>
      <c r="C20" t="inlineStr">
        <is>
          <t>Turtle</t>
        </is>
      </c>
      <c r="D20" t="inlineStr">
        <is>
          <t>Rare</t>
        </is>
      </c>
      <c r="E20">
        <v>36</v>
      </c>
      <c r="F20">
        <v>14000</v>
      </c>
      <c r="G20" t="inlineStr">
        <is>
          <t>PlumTree</t>
        </is>
      </c>
      <c r="H20">
        <f>IF(G20="","",VLOOKUP(G20,Feeds!$A:$E,5,FALSE))</f>
      </c>
      <c r="I20">
        <f>IF(OR(F20="",H20=""),"",ROUND(F20/H20,1))</f>
      </c>
      <c r="J20" t="inlineStr">
        <is>
          <t>Pet20</t>
        </is>
      </c>
    </row>
    <row r="21">
      <c r="A21">
        <v>20</v>
      </c>
      <c r="B21" t="inlineStr">
        <is>
          <t>Pet20</t>
        </is>
      </c>
      <c r="C21" t="inlineStr">
        <is>
          <t>Lizard</t>
        </is>
      </c>
      <c r="D21" t="inlineStr">
        <is>
          <t>Rare</t>
        </is>
      </c>
      <c r="E21">
        <v>40</v>
      </c>
      <c r="F21">
        <v>25000</v>
      </c>
      <c r="G21" t="inlineStr">
        <is>
          <t>CornPatch</t>
        </is>
      </c>
      <c r="H21">
        <f>IF(G21="","",VLOOKUP(G21,Feeds!$A:$E,5,FALSE))</f>
      </c>
      <c r="I21">
        <f>IF(OR(F21="",H21=""),"",ROUND(F21/H21,1))</f>
      </c>
      <c r="J21" t="inlineStr">
        <is>
          <t>Pet21</t>
        </is>
      </c>
    </row>
    <row r="22">
      <c r="A22">
        <v>21</v>
      </c>
      <c r="B22" t="inlineStr">
        <is>
          <t>Pet21</t>
        </is>
      </c>
      <c r="C22" t="inlineStr">
        <is>
          <t>Snail</t>
        </is>
      </c>
      <c r="D22" t="inlineStr">
        <is>
          <t>Epic</t>
        </is>
      </c>
      <c r="E22">
        <v>50</v>
      </c>
      <c r="F22">
        <v>30000</v>
      </c>
      <c r="G22" t="inlineStr">
        <is>
          <t>CornPatch</t>
        </is>
      </c>
      <c r="H22">
        <f>IF(G22="","",VLOOKUP(G22,Feeds!$A:$E,5,FALSE))</f>
      </c>
      <c r="I22">
        <f>IF(OR(F22="",H22=""),"",ROUND(F22/H22,1))</f>
      </c>
      <c r="J22" t="inlineStr">
        <is>
          <t>Pet22</t>
        </is>
      </c>
    </row>
    <row r="23">
      <c r="A23">
        <v>22</v>
      </c>
      <c r="B23" t="inlineStr">
        <is>
          <t>Pet22</t>
        </is>
      </c>
      <c r="C23" t="inlineStr">
        <is>
          <t>Crab</t>
        </is>
      </c>
      <c r="D23" t="inlineStr">
        <is>
          <t>Epic</t>
        </is>
      </c>
      <c r="E23">
        <v>56</v>
      </c>
      <c r="F23">
        <v>55000</v>
      </c>
      <c r="G23" t="inlineStr">
        <is>
          <t>CherryTree</t>
        </is>
      </c>
      <c r="H23">
        <f>IF(G23="","",VLOOKUP(G23,Feeds!$A:$E,5,FALSE))</f>
      </c>
      <c r="I23">
        <f>IF(OR(F23="",H23=""),"",ROUND(F23/H23,1))</f>
      </c>
      <c r="J23" t="inlineStr">
        <is>
          <t>Pet23</t>
        </is>
      </c>
    </row>
    <row r="24">
      <c r="A24">
        <v>23</v>
      </c>
      <c r="B24" t="inlineStr">
        <is>
          <t>Pet23</t>
        </is>
      </c>
      <c r="C24" t="inlineStr">
        <is>
          <t>Goldfish</t>
        </is>
      </c>
      <c r="D24" t="inlineStr">
        <is>
          <t>Epic</t>
        </is>
      </c>
      <c r="E24">
        <v>63</v>
      </c>
      <c r="F24">
        <v>65000</v>
      </c>
      <c r="G24" t="inlineStr">
        <is>
          <t>CherryTree</t>
        </is>
      </c>
      <c r="H24">
        <f>IF(G24="","",VLOOKUP(G24,Feeds!$A:$E,5,FALSE))</f>
      </c>
      <c r="I24">
        <f>IF(OR(F24="",H24=""),"",ROUND(F24/H24,1))</f>
      </c>
      <c r="J24" t="inlineStr">
        <is>
          <t>Pet24</t>
        </is>
      </c>
    </row>
    <row r="25">
      <c r="A25">
        <v>24</v>
      </c>
      <c r="B25" t="inlineStr">
        <is>
          <t>Pet24</t>
        </is>
      </c>
      <c r="C25" t="inlineStr">
        <is>
          <t>Seal</t>
        </is>
      </c>
      <c r="D25" t="inlineStr">
        <is>
          <t>Epic</t>
        </is>
      </c>
      <c r="E25">
        <v>71</v>
      </c>
      <c r="F25">
        <v>75000</v>
      </c>
      <c r="G25" t="inlineStr">
        <is>
          <t>CherryTree</t>
        </is>
      </c>
      <c r="H25">
        <f>IF(G25="","",VLOOKUP(G25,Feeds!$A:$E,5,FALSE))</f>
      </c>
      <c r="I25">
        <f>IF(OR(F25="",H25=""),"",ROUND(F25/H25,1))</f>
      </c>
      <c r="J25" t="inlineStr">
        <is>
          <t>Pet25</t>
        </is>
      </c>
    </row>
    <row r="26">
      <c r="A26">
        <v>25</v>
      </c>
      <c r="B26" t="inlineStr">
        <is>
          <t>Pet25</t>
        </is>
      </c>
      <c r="C26" t="inlineStr">
        <is>
          <t>Swordfish</t>
        </is>
      </c>
      <c r="D26" t="inlineStr">
        <is>
          <t>Epic</t>
        </is>
      </c>
      <c r="E26">
        <v>80</v>
      </c>
      <c r="F26">
        <v>140000</v>
      </c>
      <c r="G26" t="inlineStr">
        <is>
          <t>MushroomPatch</t>
        </is>
      </c>
      <c r="H26">
        <f>IF(G26="","",VLOOKUP(G26,Feeds!$A:$E,5,FALSE))</f>
      </c>
      <c r="I26">
        <f>IF(OR(F26="",H26=""),"",ROUND(F26/H26,1))</f>
      </c>
      <c r="J26" t="inlineStr">
        <is>
          <t>Pet26</t>
        </is>
      </c>
    </row>
    <row r="27">
      <c r="A27">
        <v>26</v>
      </c>
      <c r="B27" t="inlineStr">
        <is>
          <t>Pet26</t>
        </is>
      </c>
      <c r="C27" t="inlineStr">
        <is>
          <t>Whale</t>
        </is>
      </c>
      <c r="D27" t="inlineStr">
        <is>
          <t>Epic</t>
        </is>
      </c>
      <c r="E27">
        <v>90</v>
      </c>
      <c r="F27">
        <v>160000</v>
      </c>
      <c r="G27" t="inlineStr">
        <is>
          <t>MushroomPatch</t>
        </is>
      </c>
      <c r="H27">
        <f>IF(G27="","",VLOOKUP(G27,Feeds!$A:$E,5,FALSE))</f>
      </c>
      <c r="I27">
        <f>IF(OR(F27="",H27=""),"",ROUND(F27/H27,1))</f>
      </c>
      <c r="J27" t="inlineStr">
        <is>
          <t>Pet27</t>
        </is>
      </c>
    </row>
    <row r="28">
      <c r="A28">
        <v>27</v>
      </c>
      <c r="B28" t="inlineStr">
        <is>
          <t>Pet27</t>
        </is>
      </c>
      <c r="C28" t="inlineStr">
        <is>
          <t>Shark</t>
        </is>
      </c>
      <c r="D28" t="inlineStr">
        <is>
          <t>Epic</t>
        </is>
      </c>
      <c r="E28">
        <v>101</v>
      </c>
      <c r="F28">
        <v>300000</v>
      </c>
      <c r="G28" t="inlineStr">
        <is>
          <t>BananaTree</t>
        </is>
      </c>
      <c r="H28">
        <f>IF(G28="","",VLOOKUP(G28,Feeds!$A:$E,5,FALSE))</f>
      </c>
      <c r="I28">
        <f>IF(OR(F28="",H28=""),"",ROUND(F28/H28,1))</f>
      </c>
      <c r="J28" t="inlineStr">
        <is>
          <t>Pet28</t>
        </is>
      </c>
    </row>
    <row r="29">
      <c r="A29">
        <v>28</v>
      </c>
      <c r="B29" t="inlineStr">
        <is>
          <t>Pet28</t>
        </is>
      </c>
      <c r="C29" t="inlineStr">
        <is>
          <t>Ostrich</t>
        </is>
      </c>
      <c r="D29" t="inlineStr">
        <is>
          <t>Epic</t>
        </is>
      </c>
      <c r="E29">
        <v>113</v>
      </c>
      <c r="F29">
        <v>350000</v>
      </c>
      <c r="G29" t="inlineStr">
        <is>
          <t>BananaTree</t>
        </is>
      </c>
      <c r="H29">
        <f>IF(G29="","",VLOOKUP(G29,Feeds!$A:$E,5,FALSE))</f>
      </c>
      <c r="I29">
        <f>IF(OR(F29="",H29=""),"",ROUND(F29/H29,1))</f>
      </c>
      <c r="J29" t="inlineStr">
        <is>
          <t>Pet29</t>
        </is>
      </c>
    </row>
    <row r="30">
      <c r="A30">
        <v>29</v>
      </c>
      <c r="B30" t="inlineStr">
        <is>
          <t>Pet29</t>
        </is>
      </c>
      <c r="C30" t="inlineStr">
        <is>
          <t>Kangaroo</t>
        </is>
      </c>
      <c r="D30" t="inlineStr">
        <is>
          <t>Epic</t>
        </is>
      </c>
      <c r="E30">
        <v>126</v>
      </c>
      <c r="F30">
        <v>400000</v>
      </c>
      <c r="G30" t="inlineStr">
        <is>
          <t>BananaTree</t>
        </is>
      </c>
      <c r="H30">
        <f>IF(G30="","",VLOOKUP(G30,Feeds!$A:$E,5,FALSE))</f>
      </c>
      <c r="I30">
        <f>IF(OR(F30="",H30=""),"",ROUND(F30/H30,1))</f>
      </c>
      <c r="J30" t="inlineStr">
        <is>
          <t>Pet30</t>
        </is>
      </c>
    </row>
    <row r="31">
      <c r="A31">
        <v>30</v>
      </c>
      <c r="B31" t="inlineStr">
        <is>
          <t>Pet30</t>
        </is>
      </c>
      <c r="C31" t="inlineStr">
        <is>
          <t>Zebra</t>
        </is>
      </c>
      <c r="D31" t="inlineStr">
        <is>
          <t>Epic</t>
        </is>
      </c>
      <c r="E31">
        <v>140</v>
      </c>
      <c r="F31">
        <v>750000</v>
      </c>
      <c r="G31" t="inlineStr">
        <is>
          <t>Cactus</t>
        </is>
      </c>
      <c r="H31">
        <f>IF(G31="","",VLOOKUP(G31,Feeds!$A:$E,5,FALSE))</f>
      </c>
      <c r="I31">
        <f>IF(OR(F31="",H31=""),"",ROUND(F31/H31,1))</f>
      </c>
      <c r="J31" t="inlineStr">
        <is>
          <t>Pet31</t>
        </is>
      </c>
    </row>
    <row r="32">
      <c r="A32">
        <v>31</v>
      </c>
      <c r="B32" t="inlineStr">
        <is>
          <t>Pet31</t>
        </is>
      </c>
      <c r="C32" t="inlineStr">
        <is>
          <t>Giraffee</t>
        </is>
      </c>
      <c r="D32" t="inlineStr">
        <is>
          <t>Epic</t>
        </is>
      </c>
      <c r="E32">
        <v>155</v>
      </c>
      <c r="F32">
        <v>850000</v>
      </c>
      <c r="G32" t="inlineStr">
        <is>
          <t>Cactus</t>
        </is>
      </c>
      <c r="H32">
        <f>IF(G32="","",VLOOKUP(G32,Feeds!$A:$E,5,FALSE))</f>
      </c>
      <c r="I32">
        <f>IF(OR(F32="",H32=""),"",ROUND(F32/H32,1))</f>
      </c>
      <c r="J32" t="inlineStr">
        <is>
          <t>Pet32</t>
        </is>
      </c>
    </row>
    <row r="33">
      <c r="A33">
        <v>32</v>
      </c>
      <c r="B33" t="inlineStr">
        <is>
          <t>Pet32</t>
        </is>
      </c>
      <c r="C33" t="inlineStr">
        <is>
          <t>Elephant</t>
        </is>
      </c>
      <c r="D33" t="inlineStr">
        <is>
          <t>Epic</t>
        </is>
      </c>
      <c r="E33">
        <v>171</v>
      </c>
      <c r="F33">
        <v>1000000</v>
      </c>
      <c r="G33" t="inlineStr">
        <is>
          <t>Cactus</t>
        </is>
      </c>
      <c r="H33">
        <f>IF(G33="","",VLOOKUP(G33,Feeds!$A:$E,5,FALSE))</f>
      </c>
      <c r="I33">
        <f>IF(OR(F33="",H33=""),"",ROUND(F33/H33,1))</f>
      </c>
      <c r="J33" t="inlineStr">
        <is>
          <t>Pet33</t>
        </is>
      </c>
    </row>
    <row r="34">
      <c r="A34">
        <v>33</v>
      </c>
      <c r="B34" t="inlineStr">
        <is>
          <t>Pet33</t>
        </is>
      </c>
      <c r="C34" t="inlineStr">
        <is>
          <t>Bear</t>
        </is>
      </c>
      <c r="D34" t="inlineStr">
        <is>
          <t>Epic</t>
        </is>
      </c>
      <c r="E34">
        <v>188</v>
      </c>
      <c r="F34">
        <v>1800000</v>
      </c>
      <c r="G34" t="inlineStr">
        <is>
          <t>PineapplePatch</t>
        </is>
      </c>
      <c r="H34">
        <f>IF(G34="","",VLOOKUP(G34,Feeds!$A:$E,5,FALSE))</f>
      </c>
      <c r="I34">
        <f>IF(OR(F34="",H34=""),"",ROUND(F34/H34,1))</f>
      </c>
      <c r="J34" t="inlineStr">
        <is>
          <t>Pet34</t>
        </is>
      </c>
    </row>
    <row r="35">
      <c r="A35">
        <v>34</v>
      </c>
      <c r="B35" t="inlineStr">
        <is>
          <t>Pet34</t>
        </is>
      </c>
      <c r="C35" t="inlineStr">
        <is>
          <t>Polar Bear</t>
        </is>
      </c>
      <c r="D35" t="inlineStr">
        <is>
          <t>Epic</t>
        </is>
      </c>
      <c r="E35">
        <v>207</v>
      </c>
      <c r="F35">
        <v>2000000</v>
      </c>
      <c r="G35" t="inlineStr">
        <is>
          <t>PineapplePatch</t>
        </is>
      </c>
      <c r="H35">
        <f>IF(G35="","",VLOOKUP(G35,Feeds!$A:$E,5,FALSE))</f>
      </c>
      <c r="I35">
        <f>IF(OR(F35="",H35=""),"",ROUND(F35/H35,1))</f>
      </c>
      <c r="J35" t="inlineStr">
        <is>
          <t>Pet35</t>
        </is>
      </c>
    </row>
    <row r="36">
      <c r="A36">
        <v>35</v>
      </c>
      <c r="B36" t="inlineStr">
        <is>
          <t>Pet35</t>
        </is>
      </c>
      <c r="C36" t="inlineStr">
        <is>
          <t>Gorilla</t>
        </is>
      </c>
      <c r="D36" t="inlineStr">
        <is>
          <t>Epic</t>
        </is>
      </c>
      <c r="E36">
        <v>228</v>
      </c>
      <c r="F36">
        <v>4000000</v>
      </c>
      <c r="G36" t="inlineStr">
        <is>
          <t>FigTree</t>
        </is>
      </c>
      <c r="H36">
        <f>IF(G36="","",VLOOKUP(G36,Feeds!$A:$E,5,FALSE))</f>
      </c>
      <c r="I36">
        <f>IF(OR(F36="",H36=""),"",ROUND(F36/H36,1))</f>
      </c>
      <c r="J36" t="inlineStr">
        <is>
          <t>Pet36</t>
        </is>
      </c>
    </row>
    <row r="37">
      <c r="A37">
        <v>36</v>
      </c>
      <c r="B37" t="inlineStr">
        <is>
          <t>Pet36</t>
        </is>
      </c>
      <c r="C37" t="inlineStr">
        <is>
          <t>Wolf</t>
        </is>
      </c>
      <c r="D37" t="inlineStr">
        <is>
          <t>Epic</t>
        </is>
      </c>
      <c r="E37">
        <v>250</v>
      </c>
      <c r="F37">
        <v>4500000</v>
      </c>
      <c r="G37" t="inlineStr">
        <is>
          <t>FigTree</t>
        </is>
      </c>
      <c r="H37">
        <f>IF(G37="","",VLOOKUP(G37,Feeds!$A:$E,5,FALSE))</f>
      </c>
      <c r="I37">
        <f>IF(OR(F37="",H37=""),"",ROUND(F37/H37,1))</f>
      </c>
      <c r="J37" t="inlineStr">
        <is>
          <t>Pet37</t>
        </is>
      </c>
    </row>
    <row r="38">
      <c r="A38">
        <v>37</v>
      </c>
      <c r="B38" t="inlineStr">
        <is>
          <t>Pet37</t>
        </is>
      </c>
      <c r="C38" t="inlineStr">
        <is>
          <t>Lion</t>
        </is>
      </c>
      <c r="D38" t="inlineStr">
        <is>
          <t>Legendary</t>
        </is>
      </c>
      <c r="E38">
        <v>300</v>
      </c>
      <c r="F38">
        <v>5000000</v>
      </c>
      <c r="G38" t="inlineStr">
        <is>
          <t>FigTree</t>
        </is>
      </c>
      <c r="H38">
        <f>IF(G38="","",VLOOKUP(G38,Feeds!$A:$E,5,FALSE))</f>
      </c>
      <c r="I38">
        <f>IF(OR(F38="",H38=""),"",ROUND(F38/H38,1))</f>
      </c>
      <c r="J38" t="inlineStr">
        <is>
          <t>Pet38</t>
        </is>
      </c>
    </row>
    <row r="39">
      <c r="A39">
        <v>38</v>
      </c>
      <c r="B39" t="inlineStr">
        <is>
          <t>Pet38</t>
        </is>
      </c>
      <c r="C39" t="inlineStr">
        <is>
          <t>Tiger</t>
        </is>
      </c>
      <c r="D39" t="inlineStr">
        <is>
          <t>Legendary</t>
        </is>
      </c>
      <c r="E39">
        <v>330</v>
      </c>
      <c r="F39">
        <v>10000000</v>
      </c>
      <c r="G39" t="inlineStr">
        <is>
          <t>PurpleShroomPatch</t>
        </is>
      </c>
      <c r="H39">
        <f>IF(G39="","",VLOOKUP(G39,Feeds!$A:$E,5,FALSE))</f>
      </c>
      <c r="I39">
        <f>IF(OR(F39="",H39=""),"",ROUND(F39/H39,1))</f>
      </c>
      <c r="J39" t="inlineStr">
        <is>
          <t>Pet39</t>
        </is>
      </c>
    </row>
    <row r="40">
      <c r="A40">
        <v>39</v>
      </c>
      <c r="B40" t="inlineStr">
        <is>
          <t>Pet39</t>
        </is>
      </c>
      <c r="C40" t="inlineStr">
        <is>
          <t>Crocodile</t>
        </is>
      </c>
      <c r="D40" t="inlineStr">
        <is>
          <t>Legendary</t>
        </is>
      </c>
      <c r="E40">
        <v>360</v>
      </c>
      <c r="F40">
        <v>12000000</v>
      </c>
      <c r="G40" t="inlineStr">
        <is>
          <t>PurpleShroomPatch</t>
        </is>
      </c>
      <c r="H40">
        <f>IF(G40="","",VLOOKUP(G40,Feeds!$A:$E,5,FALSE))</f>
      </c>
      <c r="I40">
        <f>IF(OR(F40="",H40=""),"",ROUND(F40/H40,1))</f>
      </c>
      <c r="J40" t="inlineStr">
        <is>
          <t>Pet40</t>
        </is>
      </c>
    </row>
    <row r="41">
      <c r="A41">
        <v>40</v>
      </c>
      <c r="B41" t="inlineStr">
        <is>
          <t>Pet40</t>
        </is>
      </c>
      <c r="C41" t="inlineStr">
        <is>
          <t>Snake</t>
        </is>
      </c>
      <c r="D41" t="inlineStr">
        <is>
          <t>Legendary</t>
        </is>
      </c>
      <c r="E41">
        <v>395</v>
      </c>
      <c r="F41">
        <v>23000000</v>
      </c>
      <c r="G41" t="inlineStr">
        <is>
          <t>BloodOrangeTree</t>
        </is>
      </c>
      <c r="H41">
        <f>IF(G41="","",VLOOKUP(G41,Feeds!$A:$E,5,FALSE))</f>
      </c>
      <c r="I41">
        <f>IF(OR(F41="",H41=""),"",ROUND(F41/H41,1))</f>
      </c>
      <c r="J41" t="inlineStr">
        <is>
          <t>Pet41</t>
        </is>
      </c>
    </row>
    <row r="42">
      <c r="A42">
        <v>41</v>
      </c>
      <c r="B42" t="inlineStr">
        <is>
          <t>Pet41</t>
        </is>
      </c>
      <c r="C42" t="inlineStr">
        <is>
          <t>Cobra</t>
        </is>
      </c>
      <c r="D42" t="inlineStr">
        <is>
          <t>Legendary</t>
        </is>
      </c>
      <c r="E42">
        <v>430</v>
      </c>
      <c r="F42">
        <v>26000000</v>
      </c>
      <c r="G42" t="inlineStr">
        <is>
          <t>BloodOrangeTree</t>
        </is>
      </c>
      <c r="H42">
        <f>IF(G42="","",VLOOKUP(G42,Feeds!$A:$E,5,FALSE))</f>
      </c>
      <c r="I42">
        <f>IF(OR(F42="",H42=""),"",ROUND(F42/H42,1))</f>
      </c>
      <c r="J42" t="inlineStr">
        <is>
          <t>Pet42</t>
        </is>
      </c>
    </row>
    <row r="43">
      <c r="A43">
        <v>42</v>
      </c>
      <c r="B43" t="inlineStr">
        <is>
          <t>Pet42</t>
        </is>
      </c>
      <c r="C43" t="inlineStr">
        <is>
          <t>TripleCobra</t>
        </is>
      </c>
      <c r="D43" t="inlineStr">
        <is>
          <t>Legendary</t>
        </is>
      </c>
      <c r="E43">
        <v>470</v>
      </c>
      <c r="F43">
        <v>30000000</v>
      </c>
      <c r="G43" t="inlineStr">
        <is>
          <t>BloodOrangeTree</t>
        </is>
      </c>
      <c r="H43">
        <f>IF(G43="","",VLOOKUP(G43,Feeds!$A:$E,5,FALSE))</f>
      </c>
      <c r="I43">
        <f>IF(OR(F43="",H43=""),"",ROUND(F43/H43,1))</f>
      </c>
      <c r="J43" t="inlineStr">
        <is>
          <t>Pet43</t>
        </is>
      </c>
    </row>
    <row r="44">
      <c r="A44">
        <v>43</v>
      </c>
      <c r="B44" t="inlineStr">
        <is>
          <t>Pet43</t>
        </is>
      </c>
      <c r="C44" t="inlineStr">
        <is>
          <t>Ankylosaurus</t>
        </is>
      </c>
      <c r="D44" t="inlineStr">
        <is>
          <t>Legendary</t>
        </is>
      </c>
      <c r="E44">
        <v>510</v>
      </c>
      <c r="F44">
        <v>60000000</v>
      </c>
      <c r="G44" t="inlineStr">
        <is>
          <t>GlowshroomPatch</t>
        </is>
      </c>
      <c r="H44">
        <f>IF(G44="","",VLOOKUP(G44,Feeds!$A:$E,5,FALSE))</f>
      </c>
      <c r="I44">
        <f>IF(OR(F44="",H44=""),"",ROUND(F44/H44,1))</f>
      </c>
      <c r="J44" t="inlineStr">
        <is>
          <t>Pet44</t>
        </is>
      </c>
    </row>
    <row r="45">
      <c r="A45">
        <v>44</v>
      </c>
      <c r="B45" t="inlineStr">
        <is>
          <t>Pet44</t>
        </is>
      </c>
      <c r="C45" t="inlineStr">
        <is>
          <t>Triceratops</t>
        </is>
      </c>
      <c r="D45" t="inlineStr">
        <is>
          <t>Legendary</t>
        </is>
      </c>
      <c r="E45">
        <v>550</v>
      </c>
      <c r="F45">
        <v>70000000</v>
      </c>
      <c r="G45" t="inlineStr">
        <is>
          <t>GlowshroomPatch</t>
        </is>
      </c>
      <c r="H45">
        <f>IF(G45="","",VLOOKUP(G45,Feeds!$A:$E,5,FALSE))</f>
      </c>
      <c r="I45">
        <f>IF(OR(F45="",H45=""),"",ROUND(F45/H45,1))</f>
      </c>
      <c r="J45" t="inlineStr">
        <is>
          <t>Pet45</t>
        </is>
      </c>
    </row>
    <row r="46">
      <c r="A46">
        <v>45</v>
      </c>
      <c r="B46" t="inlineStr">
        <is>
          <t>Pet45</t>
        </is>
      </c>
      <c r="C46" t="inlineStr">
        <is>
          <t>Gallimimus</t>
        </is>
      </c>
      <c r="D46" t="inlineStr">
        <is>
          <t>Legendary</t>
        </is>
      </c>
      <c r="E46">
        <v>595</v>
      </c>
      <c r="F46">
        <v>80000000</v>
      </c>
      <c r="G46" t="inlineStr">
        <is>
          <t>GlowshroomPatch</t>
        </is>
      </c>
      <c r="H46">
        <f>IF(G46="","",VLOOKUP(G46,Feeds!$A:$E,5,FALSE))</f>
      </c>
      <c r="I46">
        <f>IF(OR(F46="",H46=""),"",ROUND(F46/H46,1))</f>
      </c>
      <c r="J46" t="inlineStr">
        <is>
          <t>Pet46</t>
        </is>
      </c>
    </row>
    <row r="47">
      <c r="A47">
        <v>46</v>
      </c>
      <c r="B47" t="inlineStr">
        <is>
          <t>Pet46</t>
        </is>
      </c>
      <c r="C47" t="inlineStr">
        <is>
          <t>Velicoraptor</t>
        </is>
      </c>
      <c r="D47" t="inlineStr">
        <is>
          <t>Legendary</t>
        </is>
      </c>
      <c r="E47">
        <v>640</v>
      </c>
      <c r="F47">
        <v>150000000</v>
      </c>
      <c r="G47" t="inlineStr">
        <is>
          <t>DragonfruitTree</t>
        </is>
      </c>
      <c r="H47">
        <f>IF(G47="","",VLOOKUP(G47,Feeds!$A:$E,5,FALSE))</f>
      </c>
      <c r="I47">
        <f>IF(OR(F47="",H47=""),"",ROUND(F47/H47,1))</f>
      </c>
      <c r="J47" t="inlineStr">
        <is>
          <t>Pet47</t>
        </is>
      </c>
    </row>
    <row r="48">
      <c r="A48">
        <v>47</v>
      </c>
      <c r="B48" t="inlineStr">
        <is>
          <t>Pet47</t>
        </is>
      </c>
      <c r="C48" t="inlineStr">
        <is>
          <t>Brachiosaurus</t>
        </is>
      </c>
      <c r="D48" t="inlineStr">
        <is>
          <t>Legendary</t>
        </is>
      </c>
      <c r="E48">
        <v>690</v>
      </c>
      <c r="F48">
        <v>170000000</v>
      </c>
      <c r="G48" t="inlineStr">
        <is>
          <t>DragonfruitTree</t>
        </is>
      </c>
      <c r="H48">
        <f>IF(G48="","",VLOOKUP(G48,Feeds!$A:$E,5,FALSE))</f>
      </c>
      <c r="I48">
        <f>IF(OR(F48="",H48=""),"",ROUND(F48/H48,1))</f>
      </c>
      <c r="J48" t="inlineStr">
        <is>
          <t>Pet48</t>
        </is>
      </c>
    </row>
    <row r="49">
      <c r="A49">
        <v>48</v>
      </c>
      <c r="B49" t="inlineStr">
        <is>
          <t>Pet48</t>
        </is>
      </c>
      <c r="C49" t="inlineStr">
        <is>
          <t>Spinosaurus</t>
        </is>
      </c>
      <c r="D49" t="inlineStr">
        <is>
          <t>Legendary</t>
        </is>
      </c>
      <c r="E49">
        <v>745</v>
      </c>
      <c r="F49">
        <v>320000000</v>
      </c>
      <c r="G49" t="inlineStr">
        <is>
          <t>GoldenAppleTree</t>
        </is>
      </c>
      <c r="H49">
        <f>IF(G49="","",VLOOKUP(G49,Feeds!$A:$E,5,FALSE))</f>
      </c>
      <c r="I49">
        <f>IF(OR(F49="",H49=""),"",ROUND(F49/H49,1))</f>
      </c>
      <c r="J49" t="inlineStr">
        <is>
          <t>Pet49</t>
        </is>
      </c>
    </row>
    <row r="50">
      <c r="A50">
        <v>49</v>
      </c>
      <c r="B50" t="inlineStr">
        <is>
          <t>Pet49</t>
        </is>
      </c>
      <c r="C50" t="inlineStr">
        <is>
          <t>T-Rex</t>
        </is>
      </c>
      <c r="D50" t="inlineStr">
        <is>
          <t>Legendary</t>
        </is>
      </c>
      <c r="E50">
        <v>800</v>
      </c>
      <c r="F50">
        <v>360000000</v>
      </c>
      <c r="G50" t="inlineStr">
        <is>
          <t>GoldenAppleTree</t>
        </is>
      </c>
      <c r="H50">
        <f>IF(G50="","",VLOOKUP(G50,Feeds!$A:$E,5,FALSE))</f>
      </c>
      <c r="I50">
        <f>IF(OR(F50="",H50=""),"",ROUND(F50/H50,1))</f>
      </c>
      <c r="J50" t="inlineStr">
        <is>
          <t>Pet50</t>
        </is>
      </c>
    </row>
    <row r="51">
      <c r="A51">
        <v>50</v>
      </c>
      <c r="B51" t="inlineStr">
        <is>
          <t>Pet50</t>
        </is>
      </c>
      <c r="C51" t="inlineStr">
        <is>
          <t>Mamoth</t>
        </is>
      </c>
      <c r="D51" t="inlineStr">
        <is>
          <t>Mythical</t>
        </is>
      </c>
      <c r="E51">
        <v>850</v>
      </c>
      <c r="F51">
        <v>500000000</v>
      </c>
      <c r="G51" t="inlineStr">
        <is>
          <t>GoldenAppleTree</t>
        </is>
      </c>
      <c r="H51">
        <f>IF(G51="","",VLOOKUP(G51,Feeds!$A:$E,5,FALSE))</f>
      </c>
      <c r="I51">
        <f>IF(OR(F51="",H51=""),"",ROUND(F51/H51,1))</f>
      </c>
      <c r="J51" t="inlineStr">
        <is>
          <t>Pet51</t>
        </is>
      </c>
    </row>
    <row r="52">
      <c r="A52">
        <v>51</v>
      </c>
      <c r="B52" t="inlineStr">
        <is>
          <t>Pet51</t>
        </is>
      </c>
      <c r="C52" t="inlineStr">
        <is>
          <t>Mosasaurus</t>
        </is>
      </c>
      <c r="D52" t="inlineStr">
        <is>
          <t>Mythical</t>
        </is>
      </c>
      <c r="E52">
        <v>900</v>
      </c>
      <c r="F52">
        <v>1200000000</v>
      </c>
      <c r="G52" t="inlineStr">
        <is>
          <t>DurianTree</t>
        </is>
      </c>
      <c r="H52">
        <f>IF(G52="","",VLOOKUP(G52,Feeds!$A:$E,5,FALSE))</f>
      </c>
      <c r="I52">
        <f>IF(OR(F52="",H52=""),"",ROUND(F52/H52,1))</f>
      </c>
      <c r="J52" t="inlineStr">
        <is>
          <t>Pet52</t>
        </is>
      </c>
    </row>
    <row r="53">
      <c r="A53">
        <v>52</v>
      </c>
      <c r="B53" t="inlineStr">
        <is>
          <t>Pet52</t>
        </is>
      </c>
      <c r="C53" t="inlineStr">
        <is>
          <t>Kitsune</t>
        </is>
      </c>
      <c r="D53" t="inlineStr">
        <is>
          <t>Mythical</t>
        </is>
      </c>
      <c r="E53">
        <v>950</v>
      </c>
      <c r="F53">
        <v>1600000000</v>
      </c>
      <c r="G53" t="inlineStr">
        <is>
          <t>DurianTree</t>
        </is>
      </c>
      <c r="H53">
        <f>IF(G53="","",VLOOKUP(G53,Feeds!$A:$E,5,FALSE))</f>
      </c>
      <c r="I53">
        <f>IF(OR(F53="",H53=""),"",ROUND(F53/H53,1))</f>
      </c>
      <c r="J53" t="inlineStr">
        <is>
          <t>Pet53</t>
        </is>
      </c>
    </row>
    <row r="54">
      <c r="A54">
        <v>53</v>
      </c>
      <c r="B54" t="inlineStr">
        <is>
          <t>Pet53</t>
        </is>
      </c>
      <c r="C54" t="inlineStr">
        <is>
          <t>Unicorn</t>
        </is>
      </c>
      <c r="D54" t="inlineStr">
        <is>
          <t>Mythical</t>
        </is>
      </c>
      <c r="E54">
        <v>1000</v>
      </c>
      <c r="F54"/>
      <c r="G54"/>
      <c r="H54">
        <f>IF(G54="","",VLOOKUP(G54,Feeds!$A:$E,5,FALSE))</f>
      </c>
      <c r="I54">
        <f>IF(OR(F54="",H54=""),"",ROUND(F54/H54,1))</f>
      </c>
      <c r="J54"/>
    </row>
  </sheetData>
  <autoFilter ref="A1:J54"/>
</worksheet>
</file>

<file path=xl/worksheets/sheet5.xml><?xml version="1.0" encoding="utf-8"?>
<worksheet xmlns="http://schemas.openxmlformats.org/spreadsheetml/2006/main" xmlns:r="http://schemas.openxmlformats.org/officeDocument/2006/relationships">
  <dimension ref="A1:M21"/>
  <sheetViews>
    <sheetView workbookViewId="0">
      <pane ySplit="1" topLeftCell="A2" activePane="bottomLeft" state="frozen"/>
    </sheetView>
  </sheetViews>
  <cols>
    <col min="1" max="1" width="26" customWidth="1"/>
    <col min="2" max="2" width="26" customWidth="1"/>
    <col min="3" max="3" width="22" customWidth="1"/>
    <col min="4" max="4" width="14" customWidth="1"/>
    <col min="5" max="5" width="14" customWidth="1"/>
    <col min="6" max="6" width="16" customWidth="1"/>
    <col min="7" max="7" width="14" customWidth="1"/>
    <col min="8" max="8" width="18" customWidth="1"/>
    <col min="9" max="9" width="18" customWidth="1"/>
    <col min="10" max="10" width="16" customWidth="1"/>
    <col min="11" max="11" width="16" customWidth="1"/>
    <col min="12" max="12" width="14" customWidth="1"/>
    <col min="13" max="13" width="14" customWidth="1"/>
  </cols>
  <sheetData>
    <row r="1">
      <c r="A1" t="inlineStr" s="1">
        <is>
          <t>SeedID</t>
        </is>
      </c>
      <c r="B1" t="inlineStr" s="1">
        <is>
          <t>DisplayName</t>
        </is>
      </c>
      <c r="C1" t="inlineStr" s="1">
        <is>
          <t>FeedType</t>
        </is>
      </c>
      <c r="D1" t="inlineStr" s="1">
        <is>
          <t>Rarity</t>
        </is>
      </c>
      <c r="E1" t="inlineStr" s="1">
        <is>
          <t>RollChanceN</t>
        </is>
      </c>
      <c r="F1" t="inlineStr" s="1">
        <is>
          <t>RawChanceLabel</t>
        </is>
      </c>
      <c r="G1" t="inlineStr" s="1">
        <is>
          <t>MatchedPetID</t>
        </is>
      </c>
      <c r="H1" t="inlineStr" s="1">
        <is>
          <t>MatchedPetName</t>
        </is>
      </c>
      <c r="I1" t="inlineStr" s="1">
        <is>
          <t>MatchedMoneyRate</t>
        </is>
      </c>
      <c r="J1" t="inlineStr" s="1">
        <is>
          <t>MinutesRequired</t>
        </is>
      </c>
      <c r="K1" t="inlineStr" s="1">
        <is>
          <t>FormulaPrice</t>
        </is>
      </c>
      <c r="L1" t="inlineStr" s="1">
        <is>
          <t>CurrentPrice</t>
        </is>
      </c>
      <c r="M1" t="inlineStr" s="1">
        <is>
          <t>PriceDelta</t>
        </is>
      </c>
    </row>
    <row r="2">
      <c r="A2" t="inlineStr">
        <is>
          <t>PumpkinSeed</t>
        </is>
      </c>
      <c r="B2" t="inlineStr">
        <is>
          <t>Pumpkin Seed</t>
        </is>
      </c>
      <c r="C2" t="inlineStr">
        <is>
          <t>PumpkinPatch</t>
        </is>
      </c>
      <c r="D2" t="inlineStr">
        <is>
          <t>Common</t>
        </is>
      </c>
      <c r="E2">
        <v>3</v>
      </c>
      <c r="F2">
        <f>"1 in "&amp;E2</f>
      </c>
      <c r="G2" t="inlineStr">
        <is>
          <t>Pet1</t>
        </is>
      </c>
      <c r="H2">
        <f>VLOOKUP(G2,Pets!$B:$E,2,FALSE)</f>
      </c>
      <c r="I2">
        <f>VLOOKUP(G2,Pets!$B:$E,4,FALSE)</f>
      </c>
      <c r="J2">
        <f>Assumptions!$B$2</f>
      </c>
      <c r="K2">
        <f>I2*60*J2</f>
      </c>
      <c r="L2">
        <v>100</v>
      </c>
      <c r="M2">
        <f>L2-K2</f>
      </c>
    </row>
    <row r="3">
      <c r="A3" t="inlineStr">
        <is>
          <t>CabbageSeed</t>
        </is>
      </c>
      <c r="B3" t="inlineStr">
        <is>
          <t>Cabbage Seed</t>
        </is>
      </c>
      <c r="C3" t="inlineStr">
        <is>
          <t>CabbagePatch</t>
        </is>
      </c>
      <c r="D3" t="inlineStr">
        <is>
          <t>Common</t>
        </is>
      </c>
      <c r="E3">
        <v>4</v>
      </c>
      <c r="F3">
        <f>"1 in "&amp;E3</f>
      </c>
      <c r="G3" t="inlineStr">
        <is>
          <t>Pet4</t>
        </is>
      </c>
      <c r="H3">
        <f>VLOOKUP(G3,Pets!$B:$E,2,FALSE)</f>
      </c>
      <c r="I3">
        <f>VLOOKUP(G3,Pets!$B:$E,4,FALSE)</f>
      </c>
      <c r="J3">
        <f>Assumptions!$B$2</f>
      </c>
      <c r="K3">
        <f>I3*60*J3</f>
      </c>
      <c r="L3">
        <v>500</v>
      </c>
      <c r="M3">
        <f>L3-K3</f>
      </c>
    </row>
    <row r="4">
      <c r="A4" t="inlineStr">
        <is>
          <t>AppleTreeSeed</t>
        </is>
      </c>
      <c r="B4" t="inlineStr">
        <is>
          <t>Apple Tree Seed</t>
        </is>
      </c>
      <c r="C4" t="inlineStr">
        <is>
          <t>AppleTree</t>
        </is>
      </c>
      <c r="D4" t="inlineStr">
        <is>
          <t>Common</t>
        </is>
      </c>
      <c r="E4">
        <v>26</v>
      </c>
      <c r="F4">
        <f>"1 in "&amp;E4</f>
      </c>
      <c r="G4" t="inlineStr">
        <is>
          <t>Pet6</t>
        </is>
      </c>
      <c r="H4">
        <f>VLOOKUP(G4,Pets!$B:$E,2,FALSE)</f>
      </c>
      <c r="I4">
        <f>VLOOKUP(G4,Pets!$B:$E,4,FALSE)</f>
      </c>
      <c r="J4">
        <f>Assumptions!$B$2</f>
      </c>
      <c r="K4">
        <f>I4*60*J4</f>
      </c>
      <c r="L4">
        <v>1500</v>
      </c>
      <c r="M4">
        <f>L4-K4</f>
      </c>
    </row>
    <row r="5">
      <c r="A5" t="inlineStr">
        <is>
          <t>PotatoSeed</t>
        </is>
      </c>
      <c r="B5" t="inlineStr">
        <is>
          <t>Potato Seed</t>
        </is>
      </c>
      <c r="C5" t="inlineStr">
        <is>
          <t>PotatoPatch</t>
        </is>
      </c>
      <c r="D5" t="inlineStr">
        <is>
          <t>Rare</t>
        </is>
      </c>
      <c r="E5">
        <v>51</v>
      </c>
      <c r="F5">
        <f>"1 in "&amp;E5</f>
      </c>
      <c r="G5" t="inlineStr">
        <is>
          <t>Pet9</t>
        </is>
      </c>
      <c r="H5">
        <f>VLOOKUP(G5,Pets!$B:$E,2,FALSE)</f>
      </c>
      <c r="I5">
        <f>VLOOKUP(G5,Pets!$B:$E,4,FALSE)</f>
      </c>
      <c r="J5">
        <f>Assumptions!$B$2</f>
      </c>
      <c r="K5">
        <f>I5*60*J5</f>
      </c>
      <c r="L5">
        <v>2200</v>
      </c>
      <c r="M5">
        <f>L5-K5</f>
      </c>
    </row>
    <row r="6">
      <c r="A6" t="inlineStr">
        <is>
          <t>OrangeTreeSeed</t>
        </is>
      </c>
      <c r="B6" t="inlineStr">
        <is>
          <t>Orange Tree Seed</t>
        </is>
      </c>
      <c r="C6" t="inlineStr">
        <is>
          <t>OrangeTree</t>
        </is>
      </c>
      <c r="D6" t="inlineStr">
        <is>
          <t>Rare</t>
        </is>
      </c>
      <c r="E6">
        <v>85</v>
      </c>
      <c r="F6">
        <f>"1 in "&amp;E6</f>
      </c>
      <c r="G6" t="inlineStr">
        <is>
          <t>Pet12</t>
        </is>
      </c>
      <c r="H6">
        <f>VLOOKUP(G6,Pets!$B:$E,2,FALSE)</f>
      </c>
      <c r="I6">
        <f>VLOOKUP(G6,Pets!$B:$E,4,FALSE)</f>
      </c>
      <c r="J6">
        <f>Assumptions!$B$2</f>
      </c>
      <c r="K6">
        <f>I6*60*J6</f>
      </c>
      <c r="L6">
        <v>3000</v>
      </c>
      <c r="M6">
        <f>L6-K6</f>
      </c>
    </row>
    <row r="7">
      <c r="A7" t="inlineStr">
        <is>
          <t>WatermelonSeed</t>
        </is>
      </c>
      <c r="B7" t="inlineStr">
        <is>
          <t>Watermelon Seed</t>
        </is>
      </c>
      <c r="C7" t="inlineStr">
        <is>
          <t>WatermelonPatch</t>
        </is>
      </c>
      <c r="D7" t="inlineStr">
        <is>
          <t>Rare</t>
        </is>
      </c>
      <c r="E7">
        <v>128</v>
      </c>
      <c r="F7">
        <f>"1 in "&amp;E7</f>
      </c>
      <c r="G7" t="inlineStr">
        <is>
          <t>Pet15</t>
        </is>
      </c>
      <c r="H7">
        <f>VLOOKUP(G7,Pets!$B:$E,2,FALSE)</f>
      </c>
      <c r="I7">
        <f>VLOOKUP(G7,Pets!$B:$E,4,FALSE)</f>
      </c>
      <c r="J7">
        <f>Assumptions!$B$2</f>
      </c>
      <c r="K7">
        <f>I7*60*J7</f>
      </c>
      <c r="L7">
        <v>4500</v>
      </c>
      <c r="M7">
        <f>L7-K7</f>
      </c>
    </row>
    <row r="8">
      <c r="A8" t="inlineStr">
        <is>
          <t>PlumTreeSeed</t>
        </is>
      </c>
      <c r="B8" t="inlineStr">
        <is>
          <t>Plum Tree Seed</t>
        </is>
      </c>
      <c r="C8" t="inlineStr">
        <is>
          <t>PlumTree</t>
        </is>
      </c>
      <c r="D8" t="inlineStr">
        <is>
          <t>Rare</t>
        </is>
      </c>
      <c r="E8">
        <v>256</v>
      </c>
      <c r="F8">
        <f>"1 in "&amp;E8</f>
      </c>
      <c r="G8" t="inlineStr">
        <is>
          <t>Pet17</t>
        </is>
      </c>
      <c r="H8">
        <f>VLOOKUP(G8,Pets!$B:$E,2,FALSE)</f>
      </c>
      <c r="I8">
        <f>VLOOKUP(G8,Pets!$B:$E,4,FALSE)</f>
      </c>
      <c r="J8">
        <f>Assumptions!$B$2</f>
      </c>
      <c r="K8">
        <f>I8*60*J8</f>
      </c>
      <c r="L8">
        <v>5500</v>
      </c>
      <c r="M8">
        <f>L8-K8</f>
      </c>
    </row>
    <row r="9">
      <c r="A9" t="inlineStr">
        <is>
          <t>CornSeed</t>
        </is>
      </c>
      <c r="B9" t="inlineStr">
        <is>
          <t>Corn Seed</t>
        </is>
      </c>
      <c r="C9" t="inlineStr">
        <is>
          <t>CornPatch</t>
        </is>
      </c>
      <c r="D9" t="inlineStr">
        <is>
          <t>Epic</t>
        </is>
      </c>
      <c r="E9">
        <v>427</v>
      </c>
      <c r="F9">
        <f>"1 in "&amp;E9</f>
      </c>
      <c r="G9" t="inlineStr">
        <is>
          <t>Pet20</t>
        </is>
      </c>
      <c r="H9">
        <f>VLOOKUP(G9,Pets!$B:$E,2,FALSE)</f>
      </c>
      <c r="I9">
        <f>VLOOKUP(G9,Pets!$B:$E,4,FALSE)</f>
      </c>
      <c r="J9">
        <f>Assumptions!$B$2</f>
      </c>
      <c r="K9">
        <f>I9*60*J9</f>
      </c>
      <c r="L9">
        <v>7500</v>
      </c>
      <c r="M9">
        <f>L9-K9</f>
      </c>
    </row>
    <row r="10">
      <c r="A10" t="inlineStr">
        <is>
          <t>CherryTreeSeed</t>
        </is>
      </c>
      <c r="B10" t="inlineStr">
        <is>
          <t>Cherry Tree Seed</t>
        </is>
      </c>
      <c r="C10" t="inlineStr">
        <is>
          <t>CherryTree</t>
        </is>
      </c>
      <c r="D10" t="inlineStr">
        <is>
          <t>Epic</t>
        </is>
      </c>
      <c r="E10">
        <v>512</v>
      </c>
      <c r="F10">
        <f>"1 in "&amp;E10</f>
      </c>
      <c r="G10" t="inlineStr">
        <is>
          <t>Pet23</t>
        </is>
      </c>
      <c r="H10">
        <f>VLOOKUP(G10,Pets!$B:$E,2,FALSE)</f>
      </c>
      <c r="I10">
        <f>VLOOKUP(G10,Pets!$B:$E,4,FALSE)</f>
      </c>
      <c r="J10">
        <f>Assumptions!$B$2</f>
      </c>
      <c r="K10">
        <f>I10*60*J10</f>
      </c>
      <c r="L10">
        <v>12000</v>
      </c>
      <c r="M10">
        <f>L10-K10</f>
      </c>
    </row>
    <row r="11">
      <c r="A11" t="inlineStr">
        <is>
          <t>MushroomSeed</t>
        </is>
      </c>
      <c r="B11" t="inlineStr">
        <is>
          <t>Mushroom Seed</t>
        </is>
      </c>
      <c r="C11" t="inlineStr">
        <is>
          <t>MushroomPatch</t>
        </is>
      </c>
      <c r="D11" t="inlineStr">
        <is>
          <t>Epic</t>
        </is>
      </c>
      <c r="E11">
        <v>640</v>
      </c>
      <c r="F11">
        <f>"1 in "&amp;E11</f>
      </c>
      <c r="G11" t="inlineStr">
        <is>
          <t>Pet26</t>
        </is>
      </c>
      <c r="H11">
        <f>VLOOKUP(G11,Pets!$B:$E,2,FALSE)</f>
      </c>
      <c r="I11">
        <f>VLOOKUP(G11,Pets!$B:$E,4,FALSE)</f>
      </c>
      <c r="J11">
        <f>Assumptions!$B$2</f>
      </c>
      <c r="K11">
        <f>I11*60*J11</f>
      </c>
      <c r="L11">
        <v>16000</v>
      </c>
      <c r="M11">
        <f>L11-K11</f>
      </c>
    </row>
    <row r="12">
      <c r="A12" t="inlineStr">
        <is>
          <t>BananaTreeSeed</t>
        </is>
      </c>
      <c r="B12" t="inlineStr">
        <is>
          <t>Banana Tree Seed</t>
        </is>
      </c>
      <c r="C12" t="inlineStr">
        <is>
          <t>BananaTree</t>
        </is>
      </c>
      <c r="D12" t="inlineStr">
        <is>
          <t>Epic</t>
        </is>
      </c>
      <c r="E12">
        <v>853</v>
      </c>
      <c r="F12">
        <f>"1 in "&amp;E12</f>
      </c>
      <c r="G12" t="inlineStr">
        <is>
          <t>Pet28</t>
        </is>
      </c>
      <c r="H12">
        <f>VLOOKUP(G12,Pets!$B:$E,2,FALSE)</f>
      </c>
      <c r="I12">
        <f>VLOOKUP(G12,Pets!$B:$E,4,FALSE)</f>
      </c>
      <c r="J12">
        <f>Assumptions!$B$2</f>
      </c>
      <c r="K12">
        <f>I12*60*J12</f>
      </c>
      <c r="L12">
        <v>20000</v>
      </c>
      <c r="M12">
        <f>L12-K12</f>
      </c>
    </row>
    <row r="13">
      <c r="A13" t="inlineStr">
        <is>
          <t>CactusSeed</t>
        </is>
      </c>
      <c r="B13" t="inlineStr">
        <is>
          <t>Cactus Seed</t>
        </is>
      </c>
      <c r="C13" t="inlineStr">
        <is>
          <t>Cactus</t>
        </is>
      </c>
      <c r="D13" t="inlineStr">
        <is>
          <t>Epic</t>
        </is>
      </c>
      <c r="E13">
        <v>1200</v>
      </c>
      <c r="F13">
        <f>"1 in "&amp;E13</f>
      </c>
      <c r="G13" t="inlineStr">
        <is>
          <t>Pet31</t>
        </is>
      </c>
      <c r="H13">
        <f>VLOOKUP(G13,Pets!$B:$E,2,FALSE)</f>
      </c>
      <c r="I13">
        <f>VLOOKUP(G13,Pets!$B:$E,4,FALSE)</f>
      </c>
      <c r="J13">
        <f>Assumptions!$B$2</f>
      </c>
      <c r="K13">
        <f>I13*60*J13</f>
      </c>
      <c r="L13">
        <v>28000</v>
      </c>
      <c r="M13">
        <f>L13-K13</f>
      </c>
    </row>
    <row r="14">
      <c r="A14" t="inlineStr">
        <is>
          <t>PineappleSeed</t>
        </is>
      </c>
      <c r="B14" t="inlineStr">
        <is>
          <t>Pineapple Seed</t>
        </is>
      </c>
      <c r="C14" t="inlineStr">
        <is>
          <t>PineapplePatch</t>
        </is>
      </c>
      <c r="D14" t="inlineStr">
        <is>
          <t>Legendary</t>
        </is>
      </c>
      <c r="E14">
        <v>1707</v>
      </c>
      <c r="F14">
        <f>"1 in "&amp;E14</f>
      </c>
      <c r="G14" t="inlineStr">
        <is>
          <t>Pet34</t>
        </is>
      </c>
      <c r="H14">
        <f>VLOOKUP(G14,Pets!$B:$E,2,FALSE)</f>
      </c>
      <c r="I14">
        <f>VLOOKUP(G14,Pets!$B:$E,4,FALSE)</f>
      </c>
      <c r="J14">
        <f>Assumptions!$B$2</f>
      </c>
      <c r="K14">
        <f>I14*60*J14</f>
      </c>
      <c r="L14">
        <v>37500</v>
      </c>
      <c r="M14">
        <f>L14-K14</f>
      </c>
    </row>
    <row r="15">
      <c r="A15" t="inlineStr">
        <is>
          <t>FigTreeSeed</t>
        </is>
      </c>
      <c r="B15" t="inlineStr">
        <is>
          <t>Fig Tree Seed</t>
        </is>
      </c>
      <c r="C15" t="inlineStr">
        <is>
          <t>FigTree</t>
        </is>
      </c>
      <c r="D15" t="inlineStr">
        <is>
          <t>Legendary</t>
        </is>
      </c>
      <c r="E15">
        <v>2560</v>
      </c>
      <c r="F15">
        <f>"1 in "&amp;E15</f>
      </c>
      <c r="G15" t="inlineStr">
        <is>
          <t>Pet37</t>
        </is>
      </c>
      <c r="H15">
        <f>VLOOKUP(G15,Pets!$B:$E,2,FALSE)</f>
      </c>
      <c r="I15">
        <f>VLOOKUP(G15,Pets!$B:$E,4,FALSE)</f>
      </c>
      <c r="J15">
        <f>Assumptions!$B$2</f>
      </c>
      <c r="K15">
        <f>I15*60*J15</f>
      </c>
      <c r="L15">
        <v>55000</v>
      </c>
      <c r="M15">
        <f>L15-K15</f>
      </c>
    </row>
    <row r="16">
      <c r="A16" t="inlineStr">
        <is>
          <t>PurpleShroomSeed</t>
        </is>
      </c>
      <c r="B16" t="inlineStr">
        <is>
          <t>Purple Shroom Seed</t>
        </is>
      </c>
      <c r="C16" t="inlineStr">
        <is>
          <t>PurpleShroomPatch</t>
        </is>
      </c>
      <c r="D16" t="inlineStr">
        <is>
          <t>Legendary</t>
        </is>
      </c>
      <c r="E16">
        <v>32000</v>
      </c>
      <c r="F16">
        <f>"1 in "&amp;E16</f>
      </c>
      <c r="G16" t="inlineStr">
        <is>
          <t>Pet39</t>
        </is>
      </c>
      <c r="H16">
        <f>VLOOKUP(G16,Pets!$B:$E,2,FALSE)</f>
      </c>
      <c r="I16">
        <f>VLOOKUP(G16,Pets!$B:$E,4,FALSE)</f>
      </c>
      <c r="J16">
        <f>Assumptions!$B$2</f>
      </c>
      <c r="K16">
        <f>I16*60*J16</f>
      </c>
      <c r="L16">
        <v>65000</v>
      </c>
      <c r="M16">
        <f>L16-K16</f>
      </c>
    </row>
    <row r="17">
      <c r="A17" t="inlineStr">
        <is>
          <t>BloodOrangeTreeSeed</t>
        </is>
      </c>
      <c r="B17" t="inlineStr">
        <is>
          <t>Blood Orange Tree Seed</t>
        </is>
      </c>
      <c r="C17" t="inlineStr">
        <is>
          <t>BloodOrangeTree</t>
        </is>
      </c>
      <c r="D17" t="inlineStr">
        <is>
          <t>Legendary</t>
        </is>
      </c>
      <c r="E17">
        <v>42667</v>
      </c>
      <c r="F17">
        <f>"1 in "&amp;E17</f>
      </c>
      <c r="G17" t="inlineStr">
        <is>
          <t>Pet42</t>
        </is>
      </c>
      <c r="H17">
        <f>VLOOKUP(G17,Pets!$B:$E,2,FALSE)</f>
      </c>
      <c r="I17">
        <f>VLOOKUP(G17,Pets!$B:$E,4,FALSE)</f>
      </c>
      <c r="J17">
        <f>Assumptions!$B$2</f>
      </c>
      <c r="K17">
        <f>I17*60*J17</f>
      </c>
      <c r="L17">
        <v>85000</v>
      </c>
      <c r="M17">
        <f>L17-K17</f>
      </c>
    </row>
    <row r="18">
      <c r="A18" t="inlineStr">
        <is>
          <t>GlowshroomSeed</t>
        </is>
      </c>
      <c r="B18" t="inlineStr">
        <is>
          <t>Glowshroom Seed</t>
        </is>
      </c>
      <c r="C18" t="inlineStr">
        <is>
          <t>GlowshroomPatch</t>
        </is>
      </c>
      <c r="D18" t="inlineStr">
        <is>
          <t>Mythical</t>
        </is>
      </c>
      <c r="E18">
        <v>64000</v>
      </c>
      <c r="F18">
        <f>"1 in "&amp;E18</f>
      </c>
      <c r="G18" t="inlineStr">
        <is>
          <t>Pet45</t>
        </is>
      </c>
      <c r="H18">
        <f>VLOOKUP(G18,Pets!$B:$E,2,FALSE)</f>
      </c>
      <c r="I18">
        <f>VLOOKUP(G18,Pets!$B:$E,4,FALSE)</f>
      </c>
      <c r="J18">
        <f>Assumptions!$B$2</f>
      </c>
      <c r="K18">
        <f>I18*60*J18</f>
      </c>
      <c r="L18">
        <v>110000</v>
      </c>
      <c r="M18">
        <f>L18-K18</f>
      </c>
    </row>
    <row r="19">
      <c r="A19" t="inlineStr">
        <is>
          <t>DragonfruitTreeSeed</t>
        </is>
      </c>
      <c r="B19" t="inlineStr">
        <is>
          <t>Dragonfruit Tree Seed</t>
        </is>
      </c>
      <c r="C19" t="inlineStr">
        <is>
          <t>DragonfruitTree</t>
        </is>
      </c>
      <c r="D19" t="inlineStr">
        <is>
          <t>Mythical</t>
        </is>
      </c>
      <c r="E19">
        <v>85333</v>
      </c>
      <c r="F19">
        <f>"1 in "&amp;E19</f>
      </c>
      <c r="G19" t="inlineStr">
        <is>
          <t>Pet48</t>
        </is>
      </c>
      <c r="H19">
        <f>VLOOKUP(G19,Pets!$B:$E,2,FALSE)</f>
      </c>
      <c r="I19">
        <f>VLOOKUP(G19,Pets!$B:$E,4,FALSE)</f>
      </c>
      <c r="J19">
        <f>Assumptions!$B$2</f>
      </c>
      <c r="K19">
        <f>I19*60*J19</f>
      </c>
      <c r="L19">
        <v>135000</v>
      </c>
      <c r="M19">
        <f>L19-K19</f>
      </c>
    </row>
    <row r="20">
      <c r="A20" t="inlineStr">
        <is>
          <t>GoldenAppleTreeSeed</t>
        </is>
      </c>
      <c r="B20" t="inlineStr">
        <is>
          <t>Golden Apple Tree Seed</t>
        </is>
      </c>
      <c r="C20" t="inlineStr">
        <is>
          <t>GoldenAppleTree</t>
        </is>
      </c>
      <c r="D20" t="inlineStr">
        <is>
          <t>Secret</t>
        </is>
      </c>
      <c r="E20">
        <v>1200000</v>
      </c>
      <c r="F20">
        <f>"1 in "&amp;E20</f>
      </c>
      <c r="G20" t="inlineStr">
        <is>
          <t>Pet50</t>
        </is>
      </c>
      <c r="H20">
        <f>VLOOKUP(G20,Pets!$B:$E,2,FALSE)</f>
      </c>
      <c r="I20">
        <f>VLOOKUP(G20,Pets!$B:$E,4,FALSE)</f>
      </c>
      <c r="J20">
        <f>Assumptions!$B$2</f>
      </c>
      <c r="K20">
        <f>I20*60*J20</f>
      </c>
      <c r="L20">
        <v>150000</v>
      </c>
      <c r="M20">
        <f>L20-K20</f>
      </c>
    </row>
    <row r="21">
      <c r="A21" t="inlineStr">
        <is>
          <t>DurianTreeSeed</t>
        </is>
      </c>
      <c r="B21" t="inlineStr">
        <is>
          <t>Durian Tree Seed</t>
        </is>
      </c>
      <c r="C21" t="inlineStr">
        <is>
          <t>DurianTree</t>
        </is>
      </c>
      <c r="D21" t="inlineStr">
        <is>
          <t>Secret</t>
        </is>
      </c>
      <c r="E21">
        <v>5120000</v>
      </c>
      <c r="F21">
        <f>"1 in "&amp;E21</f>
      </c>
      <c r="G21" t="inlineStr">
        <is>
          <t>Pet53</t>
        </is>
      </c>
      <c r="H21">
        <f>VLOOKUP(G21,Pets!$B:$E,2,FALSE)</f>
      </c>
      <c r="I21">
        <f>VLOOKUP(G21,Pets!$B:$E,4,FALSE)</f>
      </c>
      <c r="J21">
        <f>Assumptions!$B$2</f>
      </c>
      <c r="K21">
        <f>I21*60*J21</f>
      </c>
      <c r="L21">
        <v>180000</v>
      </c>
      <c r="M21">
        <f>L21-K21</f>
      </c>
    </row>
  </sheetData>
  <autoFilter ref="A1:M2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01"/>
  <sheetViews>
    <sheetView workbookViewId="0">
      <pane ySplit="1" topLeftCell="A2" activePane="bottomLeft" state="frozen"/>
    </sheetView>
  </sheetViews>
  <cols>
    <col min="1" max="1" width="10" customWidth="1"/>
    <col min="2" max="2" width="14" customWidth="1"/>
    <col min="3" max="3" width="18" customWidth="1"/>
    <col min="4" max="4" width="16" customWidth="1"/>
    <col min="5" max="5" width="18" customWidth="1"/>
    <col min="6" max="6" width="24" customWidth="1"/>
  </cols>
  <sheetData>
    <row r="1">
      <c r="A1" t="inlineStr" s="1">
        <is>
          <t>Level</t>
        </is>
      </c>
      <c r="B1" t="inlineStr" s="1">
        <is>
          <t>LuckPercent</t>
        </is>
      </c>
      <c r="C1" t="inlineStr" s="1">
        <is>
          <t>RawFormulaPrice</t>
        </is>
      </c>
      <c r="D1" t="inlineStr" s="1">
        <is>
          <t>CurrentPrice</t>
        </is>
      </c>
      <c r="E1" t="inlineStr" s="1">
        <is>
          <t>CumulativePrice</t>
        </is>
      </c>
      <c r="F1" t="inlineStr" s="1">
        <is>
          <t>CumulativeHoursAtEndgame</t>
        </is>
      </c>
    </row>
    <row r="2">
      <c r="A2">
        <v>1</v>
      </c>
      <c r="B2">
        <f>A2*5</f>
      </c>
      <c r="C2">
        <f>Assumptions!$B$6*A2^2*(1+Assumptions!$B$7*(A2/100)^Assumptions!$B$8)</f>
      </c>
      <c r="D2">
        <v>100</v>
      </c>
      <c r="E2">
        <f>SUM($D$2:D2)</f>
      </c>
      <c r="F2">
        <f>E2/Assumptions!$B$5/3600</f>
      </c>
    </row>
    <row r="3">
      <c r="A3">
        <v>2</v>
      </c>
      <c r="B3">
        <f>A3*5</f>
      </c>
      <c r="C3">
        <f>Assumptions!$B$6*A3^2*(1+Assumptions!$B$7*(A3/100)^Assumptions!$B$8)</f>
      </c>
      <c r="D3">
        <v>150</v>
      </c>
      <c r="E3">
        <f>SUM($D$2:D3)</f>
      </c>
      <c r="F3">
        <f>E3/Assumptions!$B$5/3600</f>
      </c>
    </row>
    <row r="4">
      <c r="A4">
        <v>3</v>
      </c>
      <c r="B4">
        <f>A4*5</f>
      </c>
      <c r="C4">
        <f>Assumptions!$B$6*A4^2*(1+Assumptions!$B$7*(A4/100)^Assumptions!$B$8)</f>
      </c>
      <c r="D4">
        <v>300</v>
      </c>
      <c r="E4">
        <f>SUM($D$2:D4)</f>
      </c>
      <c r="F4">
        <f>E4/Assumptions!$B$5/3600</f>
      </c>
    </row>
    <row r="5">
      <c r="A5">
        <v>4</v>
      </c>
      <c r="B5">
        <f>A5*5</f>
      </c>
      <c r="C5">
        <f>Assumptions!$B$6*A5^2*(1+Assumptions!$B$7*(A5/100)^Assumptions!$B$8)</f>
      </c>
      <c r="D5">
        <v>550</v>
      </c>
      <c r="E5">
        <f>SUM($D$2:D5)</f>
      </c>
      <c r="F5">
        <f>E5/Assumptions!$B$5/3600</f>
      </c>
    </row>
    <row r="6">
      <c r="A6">
        <v>5</v>
      </c>
      <c r="B6">
        <f>A6*5</f>
      </c>
      <c r="C6">
        <f>Assumptions!$B$6*A6^2*(1+Assumptions!$B$7*(A6/100)^Assumptions!$B$8)</f>
      </c>
      <c r="D6">
        <v>900</v>
      </c>
      <c r="E6">
        <f>SUM($D$2:D6)</f>
      </c>
      <c r="F6">
        <f>E6/Assumptions!$B$5/3600</f>
      </c>
    </row>
    <row r="7">
      <c r="A7">
        <v>6</v>
      </c>
      <c r="B7">
        <f>A7*5</f>
      </c>
      <c r="C7">
        <f>Assumptions!$B$6*A7^2*(1+Assumptions!$B$7*(A7/100)^Assumptions!$B$8)</f>
      </c>
      <c r="D7">
        <v>1250</v>
      </c>
      <c r="E7">
        <f>SUM($D$2:D7)</f>
      </c>
      <c r="F7">
        <f>E7/Assumptions!$B$5/3600</f>
      </c>
    </row>
    <row r="8">
      <c r="A8">
        <v>7</v>
      </c>
      <c r="B8">
        <f>A8*5</f>
      </c>
      <c r="C8">
        <f>Assumptions!$B$6*A8^2*(1+Assumptions!$B$7*(A8/100)^Assumptions!$B$8)</f>
      </c>
      <c r="D8">
        <v>1750</v>
      </c>
      <c r="E8">
        <f>SUM($D$2:D8)</f>
      </c>
      <c r="F8">
        <f>E8/Assumptions!$B$5/3600</f>
      </c>
    </row>
    <row r="9">
      <c r="A9">
        <v>8</v>
      </c>
      <c r="B9">
        <f>A9*5</f>
      </c>
      <c r="C9">
        <f>Assumptions!$B$6*A9^2*(1+Assumptions!$B$7*(A9/100)^Assumptions!$B$8)</f>
      </c>
      <c r="D9">
        <v>2250</v>
      </c>
      <c r="E9">
        <f>SUM($D$2:D9)</f>
      </c>
      <c r="F9">
        <f>E9/Assumptions!$B$5/3600</f>
      </c>
    </row>
    <row r="10">
      <c r="A10">
        <v>9</v>
      </c>
      <c r="B10">
        <f>A10*5</f>
      </c>
      <c r="C10">
        <f>Assumptions!$B$6*A10^2*(1+Assumptions!$B$7*(A10/100)^Assumptions!$B$8)</f>
      </c>
      <c r="D10">
        <v>2750</v>
      </c>
      <c r="E10">
        <f>SUM($D$2:D10)</f>
      </c>
      <c r="F10">
        <f>E10/Assumptions!$B$5/3600</f>
      </c>
    </row>
    <row r="11">
      <c r="A11">
        <v>10</v>
      </c>
      <c r="B11">
        <f>A11*5</f>
      </c>
      <c r="C11">
        <f>Assumptions!$B$6*A11^2*(1+Assumptions!$B$7*(A11/100)^Assumptions!$B$8)</f>
      </c>
      <c r="D11">
        <v>3500</v>
      </c>
      <c r="E11">
        <f>SUM($D$2:D11)</f>
      </c>
      <c r="F11">
        <f>E11/Assumptions!$B$5/3600</f>
      </c>
    </row>
    <row r="12">
      <c r="A12">
        <v>11</v>
      </c>
      <c r="B12">
        <f>A12*5</f>
      </c>
      <c r="C12">
        <f>Assumptions!$B$6*A12^2*(1+Assumptions!$B$7*(A12/100)^Assumptions!$B$8)</f>
      </c>
      <c r="D12">
        <v>4250</v>
      </c>
      <c r="E12">
        <f>SUM($D$2:D12)</f>
      </c>
      <c r="F12">
        <f>E12/Assumptions!$B$5/3600</f>
      </c>
    </row>
    <row r="13">
      <c r="A13">
        <v>12</v>
      </c>
      <c r="B13">
        <f>A13*5</f>
      </c>
      <c r="C13">
        <f>Assumptions!$B$6*A13^2*(1+Assumptions!$B$7*(A13/100)^Assumptions!$B$8)</f>
      </c>
      <c r="D13">
        <v>5000</v>
      </c>
      <c r="E13">
        <f>SUM($D$2:D13)</f>
      </c>
      <c r="F13">
        <f>E13/Assumptions!$B$5/3600</f>
      </c>
    </row>
    <row r="14">
      <c r="A14">
        <v>13</v>
      </c>
      <c r="B14">
        <f>A14*5</f>
      </c>
      <c r="C14">
        <f>Assumptions!$B$6*A14^2*(1+Assumptions!$B$7*(A14/100)^Assumptions!$B$8)</f>
      </c>
      <c r="D14">
        <v>6000</v>
      </c>
      <c r="E14">
        <f>SUM($D$2:D14)</f>
      </c>
      <c r="F14">
        <f>E14/Assumptions!$B$5/3600</f>
      </c>
    </row>
    <row r="15">
      <c r="A15">
        <v>14</v>
      </c>
      <c r="B15">
        <f>A15*5</f>
      </c>
      <c r="C15">
        <f>Assumptions!$B$6*A15^2*(1+Assumptions!$B$7*(A15/100)^Assumptions!$B$8)</f>
      </c>
      <c r="D15">
        <v>7000</v>
      </c>
      <c r="E15">
        <f>SUM($D$2:D15)</f>
      </c>
      <c r="F15">
        <f>E15/Assumptions!$B$5/3600</f>
      </c>
    </row>
    <row r="16">
      <c r="A16">
        <v>15</v>
      </c>
      <c r="B16">
        <f>A16*5</f>
      </c>
      <c r="C16">
        <f>Assumptions!$B$6*A16^2*(1+Assumptions!$B$7*(A16/100)^Assumptions!$B$8)</f>
      </c>
      <c r="D16">
        <v>8250</v>
      </c>
      <c r="E16">
        <f>SUM($D$2:D16)</f>
      </c>
      <c r="F16">
        <f>E16/Assumptions!$B$5/3600</f>
      </c>
    </row>
    <row r="17">
      <c r="A17">
        <v>16</v>
      </c>
      <c r="B17">
        <f>A17*5</f>
      </c>
      <c r="C17">
        <f>Assumptions!$B$6*A17^2*(1+Assumptions!$B$7*(A17/100)^Assumptions!$B$8)</f>
      </c>
      <c r="D17">
        <v>9250</v>
      </c>
      <c r="E17">
        <f>SUM($D$2:D17)</f>
      </c>
      <c r="F17">
        <f>E17/Assumptions!$B$5/3600</f>
      </c>
    </row>
    <row r="18">
      <c r="A18">
        <v>17</v>
      </c>
      <c r="B18">
        <f>A18*5</f>
      </c>
      <c r="C18">
        <f>Assumptions!$B$6*A18^2*(1+Assumptions!$B$7*(A18/100)^Assumptions!$B$8)</f>
      </c>
      <c r="D18">
        <v>11000</v>
      </c>
      <c r="E18">
        <f>SUM($D$2:D18)</f>
      </c>
      <c r="F18">
        <f>E18/Assumptions!$B$5/3600</f>
      </c>
    </row>
    <row r="19">
      <c r="A19">
        <v>18</v>
      </c>
      <c r="B19">
        <f>A19*5</f>
      </c>
      <c r="C19">
        <f>Assumptions!$B$6*A19^2*(1+Assumptions!$B$7*(A19/100)^Assumptions!$B$8)</f>
      </c>
      <c r="D19">
        <v>12000</v>
      </c>
      <c r="E19">
        <f>SUM($D$2:D19)</f>
      </c>
      <c r="F19">
        <f>E19/Assumptions!$B$5/3600</f>
      </c>
    </row>
    <row r="20">
      <c r="A20">
        <v>19</v>
      </c>
      <c r="B20">
        <f>A20*5</f>
      </c>
      <c r="C20">
        <f>Assumptions!$B$6*A20^2*(1+Assumptions!$B$7*(A20/100)^Assumptions!$B$8)</f>
      </c>
      <c r="D20">
        <v>14000</v>
      </c>
      <c r="E20">
        <f>SUM($D$2:D20)</f>
      </c>
      <c r="F20">
        <f>E20/Assumptions!$B$5/3600</f>
      </c>
    </row>
    <row r="21">
      <c r="A21">
        <v>20</v>
      </c>
      <c r="B21">
        <f>A21*5</f>
      </c>
      <c r="C21">
        <f>Assumptions!$B$6*A21^2*(1+Assumptions!$B$7*(A21/100)^Assumptions!$B$8)</f>
      </c>
      <c r="D21">
        <v>15000</v>
      </c>
      <c r="E21">
        <f>SUM($D$2:D21)</f>
      </c>
      <c r="F21">
        <f>E21/Assumptions!$B$5/3600</f>
      </c>
    </row>
    <row r="22">
      <c r="A22">
        <v>21</v>
      </c>
      <c r="B22">
        <f>A22*5</f>
      </c>
      <c r="C22">
        <f>Assumptions!$B$6*A22^2*(1+Assumptions!$B$7*(A22/100)^Assumptions!$B$8)</f>
      </c>
      <c r="D22">
        <v>17000</v>
      </c>
      <c r="E22">
        <f>SUM($D$2:D22)</f>
      </c>
      <c r="F22">
        <f>E22/Assumptions!$B$5/3600</f>
      </c>
    </row>
    <row r="23">
      <c r="A23">
        <v>22</v>
      </c>
      <c r="B23">
        <f>A23*5</f>
      </c>
      <c r="C23">
        <f>Assumptions!$B$6*A23^2*(1+Assumptions!$B$7*(A23/100)^Assumptions!$B$8)</f>
      </c>
      <c r="D23">
        <v>19000</v>
      </c>
      <c r="E23">
        <f>SUM($D$2:D23)</f>
      </c>
      <c r="F23">
        <f>E23/Assumptions!$B$5/3600</f>
      </c>
    </row>
    <row r="24">
      <c r="A24">
        <v>23</v>
      </c>
      <c r="B24">
        <f>A24*5</f>
      </c>
      <c r="C24">
        <f>Assumptions!$B$6*A24^2*(1+Assumptions!$B$7*(A24/100)^Assumptions!$B$8)</f>
      </c>
      <c r="D24">
        <v>21000</v>
      </c>
      <c r="E24">
        <f>SUM($D$2:D24)</f>
      </c>
      <c r="F24">
        <f>E24/Assumptions!$B$5/3600</f>
      </c>
    </row>
    <row r="25">
      <c r="A25">
        <v>24</v>
      </c>
      <c r="B25">
        <f>A25*5</f>
      </c>
      <c r="C25">
        <f>Assumptions!$B$6*A25^2*(1+Assumptions!$B$7*(A25/100)^Assumptions!$B$8)</f>
      </c>
      <c r="D25">
        <v>23000</v>
      </c>
      <c r="E25">
        <f>SUM($D$2:D25)</f>
      </c>
      <c r="F25">
        <f>E25/Assumptions!$B$5/3600</f>
      </c>
    </row>
    <row r="26">
      <c r="A26">
        <v>25</v>
      </c>
      <c r="B26">
        <f>A26*5</f>
      </c>
      <c r="C26">
        <f>Assumptions!$B$6*A26^2*(1+Assumptions!$B$7*(A26/100)^Assumptions!$B$8)</f>
      </c>
      <c r="D26">
        <v>26000</v>
      </c>
      <c r="E26">
        <f>SUM($D$2:D26)</f>
      </c>
      <c r="F26">
        <f>E26/Assumptions!$B$5/3600</f>
      </c>
    </row>
    <row r="27">
      <c r="A27">
        <v>26</v>
      </c>
      <c r="B27">
        <f>A27*5</f>
      </c>
      <c r="C27">
        <f>Assumptions!$B$6*A27^2*(1+Assumptions!$B$7*(A27/100)^Assumptions!$B$8)</f>
      </c>
      <c r="D27">
        <v>28000</v>
      </c>
      <c r="E27">
        <f>SUM($D$2:D27)</f>
      </c>
      <c r="F27">
        <f>E27/Assumptions!$B$5/3600</f>
      </c>
    </row>
    <row r="28">
      <c r="A28">
        <v>27</v>
      </c>
      <c r="B28">
        <f>A28*5</f>
      </c>
      <c r="C28">
        <f>Assumptions!$B$6*A28^2*(1+Assumptions!$B$7*(A28/100)^Assumptions!$B$8)</f>
      </c>
      <c r="D28">
        <v>31000</v>
      </c>
      <c r="E28">
        <f>SUM($D$2:D28)</f>
      </c>
      <c r="F28">
        <f>E28/Assumptions!$B$5/3600</f>
      </c>
    </row>
    <row r="29">
      <c r="A29">
        <v>28</v>
      </c>
      <c r="B29">
        <f>A29*5</f>
      </c>
      <c r="C29">
        <f>Assumptions!$B$6*A29^2*(1+Assumptions!$B$7*(A29/100)^Assumptions!$B$8)</f>
      </c>
      <c r="D29">
        <v>34000</v>
      </c>
      <c r="E29">
        <f>SUM($D$2:D29)</f>
      </c>
      <c r="F29">
        <f>E29/Assumptions!$B$5/3600</f>
      </c>
    </row>
    <row r="30">
      <c r="A30">
        <v>29</v>
      </c>
      <c r="B30">
        <f>A30*5</f>
      </c>
      <c r="C30">
        <f>Assumptions!$B$6*A30^2*(1+Assumptions!$B$7*(A30/100)^Assumptions!$B$8)</f>
      </c>
      <c r="D30">
        <v>38000</v>
      </c>
      <c r="E30">
        <f>SUM($D$2:D30)</f>
      </c>
      <c r="F30">
        <f>E30/Assumptions!$B$5/3600</f>
      </c>
    </row>
    <row r="31">
      <c r="A31">
        <v>30</v>
      </c>
      <c r="B31">
        <f>A31*5</f>
      </c>
      <c r="C31">
        <f>Assumptions!$B$6*A31^2*(1+Assumptions!$B$7*(A31/100)^Assumptions!$B$8)</f>
      </c>
      <c r="D31">
        <v>42000</v>
      </c>
      <c r="E31">
        <f>SUM($D$2:D31)</f>
      </c>
      <c r="F31">
        <f>E31/Assumptions!$B$5/3600</f>
      </c>
    </row>
    <row r="32">
      <c r="A32">
        <v>31</v>
      </c>
      <c r="B32">
        <f>A32*5</f>
      </c>
      <c r="C32">
        <f>Assumptions!$B$6*A32^2*(1+Assumptions!$B$7*(A32/100)^Assumptions!$B$8)</f>
      </c>
      <c r="D32">
        <v>46000</v>
      </c>
      <c r="E32">
        <f>SUM($D$2:D32)</f>
      </c>
      <c r="F32">
        <f>E32/Assumptions!$B$5/3600</f>
      </c>
    </row>
    <row r="33">
      <c r="A33">
        <v>32</v>
      </c>
      <c r="B33">
        <f>A33*5</f>
      </c>
      <c r="C33">
        <f>Assumptions!$B$6*A33^2*(1+Assumptions!$B$7*(A33/100)^Assumptions!$B$8)</f>
      </c>
      <c r="D33">
        <v>50000</v>
      </c>
      <c r="E33">
        <f>SUM($D$2:D33)</f>
      </c>
      <c r="F33">
        <f>E33/Assumptions!$B$5/3600</f>
      </c>
    </row>
    <row r="34">
      <c r="A34">
        <v>33</v>
      </c>
      <c r="B34">
        <f>A34*5</f>
      </c>
      <c r="C34">
        <f>Assumptions!$B$6*A34^2*(1+Assumptions!$B$7*(A34/100)^Assumptions!$B$8)</f>
      </c>
      <c r="D34">
        <v>55000</v>
      </c>
      <c r="E34">
        <f>SUM($D$2:D34)</f>
      </c>
      <c r="F34">
        <f>E34/Assumptions!$B$5/3600</f>
      </c>
    </row>
    <row r="35">
      <c r="A35">
        <v>34</v>
      </c>
      <c r="B35">
        <f>A35*5</f>
      </c>
      <c r="C35">
        <f>Assumptions!$B$6*A35^2*(1+Assumptions!$B$7*(A35/100)^Assumptions!$B$8)</f>
      </c>
      <c r="D35">
        <v>60000</v>
      </c>
      <c r="E35">
        <f>SUM($D$2:D35)</f>
      </c>
      <c r="F35">
        <f>E35/Assumptions!$B$5/3600</f>
      </c>
    </row>
    <row r="36">
      <c r="A36">
        <v>35</v>
      </c>
      <c r="B36">
        <f>A36*5</f>
      </c>
      <c r="C36">
        <f>Assumptions!$B$6*A36^2*(1+Assumptions!$B$7*(A36/100)^Assumptions!$B$8)</f>
      </c>
      <c r="D36">
        <v>65000</v>
      </c>
      <c r="E36">
        <f>SUM($D$2:D36)</f>
      </c>
      <c r="F36">
        <f>E36/Assumptions!$B$5/3600</f>
      </c>
    </row>
    <row r="37">
      <c r="A37">
        <v>36</v>
      </c>
      <c r="B37">
        <f>A37*5</f>
      </c>
      <c r="C37">
        <f>Assumptions!$B$6*A37^2*(1+Assumptions!$B$7*(A37/100)^Assumptions!$B$8)</f>
      </c>
      <c r="D37">
        <v>72000</v>
      </c>
      <c r="E37">
        <f>SUM($D$2:D37)</f>
      </c>
      <c r="F37">
        <f>E37/Assumptions!$B$5/3600</f>
      </c>
    </row>
    <row r="38">
      <c r="A38">
        <v>37</v>
      </c>
      <c r="B38">
        <f>A38*5</f>
      </c>
      <c r="C38">
        <f>Assumptions!$B$6*A38^2*(1+Assumptions!$B$7*(A38/100)^Assumptions!$B$8)</f>
      </c>
      <c r="D38">
        <v>78000</v>
      </c>
      <c r="E38">
        <f>SUM($D$2:D38)</f>
      </c>
      <c r="F38">
        <f>E38/Assumptions!$B$5/3600</f>
      </c>
    </row>
    <row r="39">
      <c r="A39">
        <v>38</v>
      </c>
      <c r="B39">
        <f>A39*5</f>
      </c>
      <c r="C39">
        <f>Assumptions!$B$6*A39^2*(1+Assumptions!$B$7*(A39/100)^Assumptions!$B$8)</f>
      </c>
      <c r="D39">
        <v>85000</v>
      </c>
      <c r="E39">
        <f>SUM($D$2:D39)</f>
      </c>
      <c r="F39">
        <f>E39/Assumptions!$B$5/3600</f>
      </c>
    </row>
    <row r="40">
      <c r="A40">
        <v>39</v>
      </c>
      <c r="B40">
        <f>A40*5</f>
      </c>
      <c r="C40">
        <f>Assumptions!$B$6*A40^2*(1+Assumptions!$B$7*(A40/100)^Assumptions!$B$8)</f>
      </c>
      <c r="D40">
        <v>93000</v>
      </c>
      <c r="E40">
        <f>SUM($D$2:D40)</f>
      </c>
      <c r="F40">
        <f>E40/Assumptions!$B$5/3600</f>
      </c>
    </row>
    <row r="41">
      <c r="A41">
        <v>40</v>
      </c>
      <c r="B41">
        <f>A41*5</f>
      </c>
      <c r="C41">
        <f>Assumptions!$B$6*A41^2*(1+Assumptions!$B$7*(A41/100)^Assumptions!$B$8)</f>
      </c>
      <c r="D41">
        <v>100000</v>
      </c>
      <c r="E41">
        <f>SUM($D$2:D41)</f>
      </c>
      <c r="F41">
        <f>E41/Assumptions!$B$5/3600</f>
      </c>
    </row>
    <row r="42">
      <c r="A42">
        <v>41</v>
      </c>
      <c r="B42">
        <f>A42*5</f>
      </c>
      <c r="C42">
        <f>Assumptions!$B$6*A42^2*(1+Assumptions!$B$7*(A42/100)^Assumptions!$B$8)</f>
      </c>
      <c r="D42">
        <v>110000</v>
      </c>
      <c r="E42">
        <f>SUM($D$2:D42)</f>
      </c>
      <c r="F42">
        <f>E42/Assumptions!$B$5/3600</f>
      </c>
    </row>
    <row r="43">
      <c r="A43">
        <v>42</v>
      </c>
      <c r="B43">
        <f>A43*5</f>
      </c>
      <c r="C43">
        <f>Assumptions!$B$6*A43^2*(1+Assumptions!$B$7*(A43/100)^Assumptions!$B$8)</f>
      </c>
      <c r="D43">
        <v>120000</v>
      </c>
      <c r="E43">
        <f>SUM($D$2:D43)</f>
      </c>
      <c r="F43">
        <f>E43/Assumptions!$B$5/3600</f>
      </c>
    </row>
    <row r="44">
      <c r="A44">
        <v>43</v>
      </c>
      <c r="B44">
        <f>A44*5</f>
      </c>
      <c r="C44">
        <f>Assumptions!$B$6*A44^2*(1+Assumptions!$B$7*(A44/100)^Assumptions!$B$8)</f>
      </c>
      <c r="D44">
        <v>130000</v>
      </c>
      <c r="E44">
        <f>SUM($D$2:D44)</f>
      </c>
      <c r="F44">
        <f>E44/Assumptions!$B$5/3600</f>
      </c>
    </row>
    <row r="45">
      <c r="A45">
        <v>44</v>
      </c>
      <c r="B45">
        <f>A45*5</f>
      </c>
      <c r="C45">
        <f>Assumptions!$B$6*A45^2*(1+Assumptions!$B$7*(A45/100)^Assumptions!$B$8)</f>
      </c>
      <c r="D45">
        <v>140000</v>
      </c>
      <c r="E45">
        <f>SUM($D$2:D45)</f>
      </c>
      <c r="F45">
        <f>E45/Assumptions!$B$5/3600</f>
      </c>
    </row>
    <row r="46">
      <c r="A46">
        <v>45</v>
      </c>
      <c r="B46">
        <f>A46*5</f>
      </c>
      <c r="C46">
        <f>Assumptions!$B$6*A46^2*(1+Assumptions!$B$7*(A46/100)^Assumptions!$B$8)</f>
      </c>
      <c r="D46">
        <v>160000</v>
      </c>
      <c r="E46">
        <f>SUM($D$2:D46)</f>
      </c>
      <c r="F46">
        <f>E46/Assumptions!$B$5/3600</f>
      </c>
    </row>
    <row r="47">
      <c r="A47">
        <v>46</v>
      </c>
      <c r="B47">
        <f>A47*5</f>
      </c>
      <c r="C47">
        <f>Assumptions!$B$6*A47^2*(1+Assumptions!$B$7*(A47/100)^Assumptions!$B$8)</f>
      </c>
      <c r="D47">
        <v>170000</v>
      </c>
      <c r="E47">
        <f>SUM($D$2:D47)</f>
      </c>
      <c r="F47">
        <f>E47/Assumptions!$B$5/3600</f>
      </c>
    </row>
    <row r="48">
      <c r="A48">
        <v>47</v>
      </c>
      <c r="B48">
        <f>A48*5</f>
      </c>
      <c r="C48">
        <f>Assumptions!$B$6*A48^2*(1+Assumptions!$B$7*(A48/100)^Assumptions!$B$8)</f>
      </c>
      <c r="D48">
        <v>180000</v>
      </c>
      <c r="E48">
        <f>SUM($D$2:D48)</f>
      </c>
      <c r="F48">
        <f>E48/Assumptions!$B$5/3600</f>
      </c>
    </row>
    <row r="49">
      <c r="A49">
        <v>48</v>
      </c>
      <c r="B49">
        <f>A49*5</f>
      </c>
      <c r="C49">
        <f>Assumptions!$B$6*A49^2*(1+Assumptions!$B$7*(A49/100)^Assumptions!$B$8)</f>
      </c>
      <c r="D49">
        <v>200000</v>
      </c>
      <c r="E49">
        <f>SUM($D$2:D49)</f>
      </c>
      <c r="F49">
        <f>E49/Assumptions!$B$5/3600</f>
      </c>
    </row>
    <row r="50">
      <c r="A50">
        <v>49</v>
      </c>
      <c r="B50">
        <f>A50*5</f>
      </c>
      <c r="C50">
        <f>Assumptions!$B$6*A50^2*(1+Assumptions!$B$7*(A50/100)^Assumptions!$B$8)</f>
      </c>
      <c r="D50">
        <v>220000</v>
      </c>
      <c r="E50">
        <f>SUM($D$2:D50)</f>
      </c>
      <c r="F50">
        <f>E50/Assumptions!$B$5/3600</f>
      </c>
    </row>
    <row r="51">
      <c r="A51">
        <v>50</v>
      </c>
      <c r="B51">
        <f>A51*5</f>
      </c>
      <c r="C51">
        <f>Assumptions!$B$6*A51^2*(1+Assumptions!$B$7*(A51/100)^Assumptions!$B$8)</f>
      </c>
      <c r="D51">
        <v>230000</v>
      </c>
      <c r="E51">
        <f>SUM($D$2:D51)</f>
      </c>
      <c r="F51">
        <f>E51/Assumptions!$B$5/3600</f>
      </c>
    </row>
    <row r="52">
      <c r="A52">
        <v>51</v>
      </c>
      <c r="B52">
        <f>A52*5</f>
      </c>
      <c r="C52">
        <f>Assumptions!$B$6*A52^2*(1+Assumptions!$B$7*(A52/100)^Assumptions!$B$8)</f>
      </c>
      <c r="D52">
        <v>250000</v>
      </c>
      <c r="E52">
        <f>SUM($D$2:D52)</f>
      </c>
      <c r="F52">
        <f>E52/Assumptions!$B$5/3600</f>
      </c>
    </row>
    <row r="53">
      <c r="A53">
        <v>52</v>
      </c>
      <c r="B53">
        <f>A53*5</f>
      </c>
      <c r="C53">
        <f>Assumptions!$B$6*A53^2*(1+Assumptions!$B$7*(A53/100)^Assumptions!$B$8)</f>
      </c>
      <c r="D53">
        <v>280000</v>
      </c>
      <c r="E53">
        <f>SUM($D$2:D53)</f>
      </c>
      <c r="F53">
        <f>E53/Assumptions!$B$5/3600</f>
      </c>
    </row>
    <row r="54">
      <c r="A54">
        <v>53</v>
      </c>
      <c r="B54">
        <f>A54*5</f>
      </c>
      <c r="C54">
        <f>Assumptions!$B$6*A54^2*(1+Assumptions!$B$7*(A54/100)^Assumptions!$B$8)</f>
      </c>
      <c r="D54">
        <v>300000</v>
      </c>
      <c r="E54">
        <f>SUM($D$2:D54)</f>
      </c>
      <c r="F54">
        <f>E54/Assumptions!$B$5/3600</f>
      </c>
    </row>
    <row r="55">
      <c r="A55">
        <v>54</v>
      </c>
      <c r="B55">
        <f>A55*5</f>
      </c>
      <c r="C55">
        <f>Assumptions!$B$6*A55^2*(1+Assumptions!$B$7*(A55/100)^Assumptions!$B$8)</f>
      </c>
      <c r="D55">
        <v>320000</v>
      </c>
      <c r="E55">
        <f>SUM($D$2:D55)</f>
      </c>
      <c r="F55">
        <f>E55/Assumptions!$B$5/3600</f>
      </c>
    </row>
    <row r="56">
      <c r="A56">
        <v>55</v>
      </c>
      <c r="B56">
        <f>A56*5</f>
      </c>
      <c r="C56">
        <f>Assumptions!$B$6*A56^2*(1+Assumptions!$B$7*(A56/100)^Assumptions!$B$8)</f>
      </c>
      <c r="D56">
        <v>350000</v>
      </c>
      <c r="E56">
        <f>SUM($D$2:D56)</f>
      </c>
      <c r="F56">
        <f>E56/Assumptions!$B$5/3600</f>
      </c>
    </row>
    <row r="57">
      <c r="A57">
        <v>56</v>
      </c>
      <c r="B57">
        <f>A57*5</f>
      </c>
      <c r="C57">
        <f>Assumptions!$B$6*A57^2*(1+Assumptions!$B$7*(A57/100)^Assumptions!$B$8)</f>
      </c>
      <c r="D57">
        <v>380000</v>
      </c>
      <c r="E57">
        <f>SUM($D$2:D57)</f>
      </c>
      <c r="F57">
        <f>E57/Assumptions!$B$5/3600</f>
      </c>
    </row>
    <row r="58">
      <c r="A58">
        <v>57</v>
      </c>
      <c r="B58">
        <f>A58*5</f>
      </c>
      <c r="C58">
        <f>Assumptions!$B$6*A58^2*(1+Assumptions!$B$7*(A58/100)^Assumptions!$B$8)</f>
      </c>
      <c r="D58">
        <v>410000</v>
      </c>
      <c r="E58">
        <f>SUM($D$2:D58)</f>
      </c>
      <c r="F58">
        <f>E58/Assumptions!$B$5/3600</f>
      </c>
    </row>
    <row r="59">
      <c r="A59">
        <v>58</v>
      </c>
      <c r="B59">
        <f>A59*5</f>
      </c>
      <c r="C59">
        <f>Assumptions!$B$6*A59^2*(1+Assumptions!$B$7*(A59/100)^Assumptions!$B$8)</f>
      </c>
      <c r="D59">
        <v>440000</v>
      </c>
      <c r="E59">
        <f>SUM($D$2:D59)</f>
      </c>
      <c r="F59">
        <f>E59/Assumptions!$B$5/3600</f>
      </c>
    </row>
    <row r="60">
      <c r="A60">
        <v>59</v>
      </c>
      <c r="B60">
        <f>A60*5</f>
      </c>
      <c r="C60">
        <f>Assumptions!$B$6*A60^2*(1+Assumptions!$B$7*(A60/100)^Assumptions!$B$8)</f>
      </c>
      <c r="D60">
        <v>470000</v>
      </c>
      <c r="E60">
        <f>SUM($D$2:D60)</f>
      </c>
      <c r="F60">
        <f>E60/Assumptions!$B$5/3600</f>
      </c>
    </row>
    <row r="61">
      <c r="A61">
        <v>60</v>
      </c>
      <c r="B61">
        <f>A61*5</f>
      </c>
      <c r="C61">
        <f>Assumptions!$B$6*A61^2*(1+Assumptions!$B$7*(A61/100)^Assumptions!$B$8)</f>
      </c>
      <c r="D61">
        <v>510000</v>
      </c>
      <c r="E61">
        <f>SUM($D$2:D61)</f>
      </c>
      <c r="F61">
        <f>E61/Assumptions!$B$5/3600</f>
      </c>
    </row>
    <row r="62">
      <c r="A62">
        <v>61</v>
      </c>
      <c r="B62">
        <f>A62*5</f>
      </c>
      <c r="C62">
        <f>Assumptions!$B$6*A62^2*(1+Assumptions!$B$7*(A62/100)^Assumptions!$B$8)</f>
      </c>
      <c r="D62">
        <v>550000</v>
      </c>
      <c r="E62">
        <f>SUM($D$2:D62)</f>
      </c>
      <c r="F62">
        <f>E62/Assumptions!$B$5/3600</f>
      </c>
    </row>
    <row r="63">
      <c r="A63">
        <v>62</v>
      </c>
      <c r="B63">
        <f>A63*5</f>
      </c>
      <c r="C63">
        <f>Assumptions!$B$6*A63^2*(1+Assumptions!$B$7*(A63/100)^Assumptions!$B$8)</f>
      </c>
      <c r="D63">
        <v>590000</v>
      </c>
      <c r="E63">
        <f>SUM($D$2:D63)</f>
      </c>
      <c r="F63">
        <f>E63/Assumptions!$B$5/3600</f>
      </c>
    </row>
    <row r="64">
      <c r="A64">
        <v>63</v>
      </c>
      <c r="B64">
        <f>A64*5</f>
      </c>
      <c r="C64">
        <f>Assumptions!$B$6*A64^2*(1+Assumptions!$B$7*(A64/100)^Assumptions!$B$8)</f>
      </c>
      <c r="D64">
        <v>630000</v>
      </c>
      <c r="E64">
        <f>SUM($D$2:D64)</f>
      </c>
      <c r="F64">
        <f>E64/Assumptions!$B$5/3600</f>
      </c>
    </row>
    <row r="65">
      <c r="A65">
        <v>64</v>
      </c>
      <c r="B65">
        <f>A65*5</f>
      </c>
      <c r="C65">
        <f>Assumptions!$B$6*A65^2*(1+Assumptions!$B$7*(A65/100)^Assumptions!$B$8)</f>
      </c>
      <c r="D65">
        <v>680000</v>
      </c>
      <c r="E65">
        <f>SUM($D$2:D65)</f>
      </c>
      <c r="F65">
        <f>E65/Assumptions!$B$5/3600</f>
      </c>
    </row>
    <row r="66">
      <c r="A66">
        <v>65</v>
      </c>
      <c r="B66">
        <f>A66*5</f>
      </c>
      <c r="C66">
        <f>Assumptions!$B$6*A66^2*(1+Assumptions!$B$7*(A66/100)^Assumptions!$B$8)</f>
      </c>
      <c r="D66">
        <v>730000</v>
      </c>
      <c r="E66">
        <f>SUM($D$2:D66)</f>
      </c>
      <c r="F66">
        <f>E66/Assumptions!$B$5/3600</f>
      </c>
    </row>
    <row r="67">
      <c r="A67">
        <v>66</v>
      </c>
      <c r="B67">
        <f>A67*5</f>
      </c>
      <c r="C67">
        <f>Assumptions!$B$6*A67^2*(1+Assumptions!$B$7*(A67/100)^Assumptions!$B$8)</f>
      </c>
      <c r="D67">
        <v>780000</v>
      </c>
      <c r="E67">
        <f>SUM($D$2:D67)</f>
      </c>
      <c r="F67">
        <f>E67/Assumptions!$B$5/3600</f>
      </c>
    </row>
    <row r="68">
      <c r="A68">
        <v>67</v>
      </c>
      <c r="B68">
        <f>A68*5</f>
      </c>
      <c r="C68">
        <f>Assumptions!$B$6*A68^2*(1+Assumptions!$B$7*(A68/100)^Assumptions!$B$8)</f>
      </c>
      <c r="D68">
        <v>840000</v>
      </c>
      <c r="E68">
        <f>SUM($D$2:D68)</f>
      </c>
      <c r="F68">
        <f>E68/Assumptions!$B$5/3600</f>
      </c>
    </row>
    <row r="69">
      <c r="A69">
        <v>68</v>
      </c>
      <c r="B69">
        <f>A69*5</f>
      </c>
      <c r="C69">
        <f>Assumptions!$B$6*A69^2*(1+Assumptions!$B$7*(A69/100)^Assumptions!$B$8)</f>
      </c>
      <c r="D69">
        <v>900000</v>
      </c>
      <c r="E69">
        <f>SUM($D$2:D69)</f>
      </c>
      <c r="F69">
        <f>E69/Assumptions!$B$5/3600</f>
      </c>
    </row>
    <row r="70">
      <c r="A70">
        <v>69</v>
      </c>
      <c r="B70">
        <f>A70*5</f>
      </c>
      <c r="C70">
        <f>Assumptions!$B$6*A70^2*(1+Assumptions!$B$7*(A70/100)^Assumptions!$B$8)</f>
      </c>
      <c r="D70">
        <v>960000</v>
      </c>
      <c r="E70">
        <f>SUM($D$2:D70)</f>
      </c>
      <c r="F70">
        <f>E70/Assumptions!$B$5/3600</f>
      </c>
    </row>
    <row r="71">
      <c r="A71">
        <v>70</v>
      </c>
      <c r="B71">
        <f>A71*5</f>
      </c>
      <c r="C71">
        <f>Assumptions!$B$6*A71^2*(1+Assumptions!$B$7*(A71/100)^Assumptions!$B$8)</f>
      </c>
      <c r="D71">
        <v>1000000</v>
      </c>
      <c r="E71">
        <f>SUM($D$2:D71)</f>
      </c>
      <c r="F71">
        <f>E71/Assumptions!$B$5/3600</f>
      </c>
    </row>
    <row r="72">
      <c r="A72">
        <v>71</v>
      </c>
      <c r="B72">
        <f>A72*5</f>
      </c>
      <c r="C72">
        <f>Assumptions!$B$6*A72^2*(1+Assumptions!$B$7*(A72/100)^Assumptions!$B$8)</f>
      </c>
      <c r="D72">
        <v>1100000</v>
      </c>
      <c r="E72">
        <f>SUM($D$2:D72)</f>
      </c>
      <c r="F72">
        <f>E72/Assumptions!$B$5/3600</f>
      </c>
    </row>
    <row r="73">
      <c r="A73">
        <v>72</v>
      </c>
      <c r="B73">
        <f>A73*5</f>
      </c>
      <c r="C73">
        <f>Assumptions!$B$6*A73^2*(1+Assumptions!$B$7*(A73/100)^Assumptions!$B$8)</f>
      </c>
      <c r="D73">
        <v>1200000</v>
      </c>
      <c r="E73">
        <f>SUM($D$2:D73)</f>
      </c>
      <c r="F73">
        <f>E73/Assumptions!$B$5/3600</f>
      </c>
    </row>
    <row r="74">
      <c r="A74">
        <v>73</v>
      </c>
      <c r="B74">
        <f>A74*5</f>
      </c>
      <c r="C74">
        <f>Assumptions!$B$6*A74^2*(1+Assumptions!$B$7*(A74/100)^Assumptions!$B$8)</f>
      </c>
      <c r="D74">
        <v>1300000</v>
      </c>
      <c r="E74">
        <f>SUM($D$2:D74)</f>
      </c>
      <c r="F74">
        <f>E74/Assumptions!$B$5/3600</f>
      </c>
    </row>
    <row r="75">
      <c r="A75">
        <v>74</v>
      </c>
      <c r="B75">
        <f>A75*5</f>
      </c>
      <c r="C75">
        <f>Assumptions!$B$6*A75^2*(1+Assumptions!$B$7*(A75/100)^Assumptions!$B$8)</f>
      </c>
      <c r="D75">
        <v>1400000</v>
      </c>
      <c r="E75">
        <f>SUM($D$2:D75)</f>
      </c>
      <c r="F75">
        <f>E75/Assumptions!$B$5/3600</f>
      </c>
    </row>
    <row r="76">
      <c r="A76">
        <v>75</v>
      </c>
      <c r="B76">
        <f>A76*5</f>
      </c>
      <c r="C76">
        <f>Assumptions!$B$6*A76^2*(1+Assumptions!$B$7*(A76/100)^Assumptions!$B$8)</f>
      </c>
      <c r="D76">
        <v>1500000</v>
      </c>
      <c r="E76">
        <f>SUM($D$2:D76)</f>
      </c>
      <c r="F76">
        <f>E76/Assumptions!$B$5/3600</f>
      </c>
    </row>
    <row r="77">
      <c r="A77">
        <v>76</v>
      </c>
      <c r="B77">
        <f>A77*5</f>
      </c>
      <c r="C77">
        <f>Assumptions!$B$6*A77^2*(1+Assumptions!$B$7*(A77/100)^Assumptions!$B$8)</f>
      </c>
      <c r="D77">
        <v>1600000</v>
      </c>
      <c r="E77">
        <f>SUM($D$2:D77)</f>
      </c>
      <c r="F77">
        <f>E77/Assumptions!$B$5/3600</f>
      </c>
    </row>
    <row r="78">
      <c r="A78">
        <v>77</v>
      </c>
      <c r="B78">
        <f>A78*5</f>
      </c>
      <c r="C78">
        <f>Assumptions!$B$6*A78^2*(1+Assumptions!$B$7*(A78/100)^Assumptions!$B$8)</f>
      </c>
      <c r="D78">
        <v>1700000</v>
      </c>
      <c r="E78">
        <f>SUM($D$2:D78)</f>
      </c>
      <c r="F78">
        <f>E78/Assumptions!$B$5/3600</f>
      </c>
    </row>
    <row r="79">
      <c r="A79">
        <v>78</v>
      </c>
      <c r="B79">
        <f>A79*5</f>
      </c>
      <c r="C79">
        <f>Assumptions!$B$6*A79^2*(1+Assumptions!$B$7*(A79/100)^Assumptions!$B$8)</f>
      </c>
      <c r="D79">
        <v>1800000</v>
      </c>
      <c r="E79">
        <f>SUM($D$2:D79)</f>
      </c>
      <c r="F79">
        <f>E79/Assumptions!$B$5/3600</f>
      </c>
    </row>
    <row r="80">
      <c r="A80">
        <v>79</v>
      </c>
      <c r="B80">
        <f>A80*5</f>
      </c>
      <c r="C80">
        <f>Assumptions!$B$6*A80^2*(1+Assumptions!$B$7*(A80/100)^Assumptions!$B$8)</f>
      </c>
      <c r="D80">
        <v>1900000</v>
      </c>
      <c r="E80">
        <f>SUM($D$2:D80)</f>
      </c>
      <c r="F80">
        <f>E80/Assumptions!$B$5/3600</f>
      </c>
    </row>
    <row r="81">
      <c r="A81">
        <v>80</v>
      </c>
      <c r="B81">
        <f>A81*5</f>
      </c>
      <c r="C81">
        <f>Assumptions!$B$6*A81^2*(1+Assumptions!$B$7*(A81/100)^Assumptions!$B$8)</f>
      </c>
      <c r="D81">
        <v>2000000</v>
      </c>
      <c r="E81">
        <f>SUM($D$2:D81)</f>
      </c>
      <c r="F81">
        <f>E81/Assumptions!$B$5/3600</f>
      </c>
    </row>
    <row r="82">
      <c r="A82">
        <v>81</v>
      </c>
      <c r="B82">
        <f>A82*5</f>
      </c>
      <c r="C82">
        <f>Assumptions!$B$6*A82^2*(1+Assumptions!$B$7*(A82/100)^Assumptions!$B$8)</f>
      </c>
      <c r="D82">
        <v>2100000</v>
      </c>
      <c r="E82">
        <f>SUM($D$2:D82)</f>
      </c>
      <c r="F82">
        <f>E82/Assumptions!$B$5/3600</f>
      </c>
    </row>
    <row r="83">
      <c r="A83">
        <v>82</v>
      </c>
      <c r="B83">
        <f>A83*5</f>
      </c>
      <c r="C83">
        <f>Assumptions!$B$6*A83^2*(1+Assumptions!$B$7*(A83/100)^Assumptions!$B$8)</f>
      </c>
      <c r="D83">
        <v>2200000</v>
      </c>
      <c r="E83">
        <f>SUM($D$2:D83)</f>
      </c>
      <c r="F83">
        <f>E83/Assumptions!$B$5/3600</f>
      </c>
    </row>
    <row r="84">
      <c r="A84">
        <v>83</v>
      </c>
      <c r="B84">
        <f>A84*5</f>
      </c>
      <c r="C84">
        <f>Assumptions!$B$6*A84^2*(1+Assumptions!$B$7*(A84/100)^Assumptions!$B$8)</f>
      </c>
      <c r="D84">
        <v>2400000</v>
      </c>
      <c r="E84">
        <f>SUM($D$2:D84)</f>
      </c>
      <c r="F84">
        <f>E84/Assumptions!$B$5/3600</f>
      </c>
    </row>
    <row r="85">
      <c r="A85">
        <v>84</v>
      </c>
      <c r="B85">
        <f>A85*5</f>
      </c>
      <c r="C85">
        <f>Assumptions!$B$6*A85^2*(1+Assumptions!$B$7*(A85/100)^Assumptions!$B$8)</f>
      </c>
      <c r="D85">
        <v>2500000</v>
      </c>
      <c r="E85">
        <f>SUM($D$2:D85)</f>
      </c>
      <c r="F85">
        <f>E85/Assumptions!$B$5/3600</f>
      </c>
    </row>
    <row r="86">
      <c r="A86">
        <v>85</v>
      </c>
      <c r="B86">
        <f>A86*5</f>
      </c>
      <c r="C86">
        <f>Assumptions!$B$6*A86^2*(1+Assumptions!$B$7*(A86/100)^Assumptions!$B$8)</f>
      </c>
      <c r="D86">
        <v>2700000</v>
      </c>
      <c r="E86">
        <f>SUM($D$2:D86)</f>
      </c>
      <c r="F86">
        <f>E86/Assumptions!$B$5/3600</f>
      </c>
    </row>
    <row r="87">
      <c r="A87">
        <v>86</v>
      </c>
      <c r="B87">
        <f>A87*5</f>
      </c>
      <c r="C87">
        <f>Assumptions!$B$6*A87^2*(1+Assumptions!$B$7*(A87/100)^Assumptions!$B$8)</f>
      </c>
      <c r="D87">
        <v>2800000</v>
      </c>
      <c r="E87">
        <f>SUM($D$2:D87)</f>
      </c>
      <c r="F87">
        <f>E87/Assumptions!$B$5/3600</f>
      </c>
    </row>
    <row r="88">
      <c r="A88">
        <v>87</v>
      </c>
      <c r="B88">
        <f>A88*5</f>
      </c>
      <c r="C88">
        <f>Assumptions!$B$6*A88^2*(1+Assumptions!$B$7*(A88/100)^Assumptions!$B$8)</f>
      </c>
      <c r="D88">
        <v>3000000</v>
      </c>
      <c r="E88">
        <f>SUM($D$2:D88)</f>
      </c>
      <c r="F88">
        <f>E88/Assumptions!$B$5/3600</f>
      </c>
    </row>
    <row r="89">
      <c r="A89">
        <v>88</v>
      </c>
      <c r="B89">
        <f>A89*5</f>
      </c>
      <c r="C89">
        <f>Assumptions!$B$6*A89^2*(1+Assumptions!$B$7*(A89/100)^Assumptions!$B$8)</f>
      </c>
      <c r="D89">
        <v>3200000</v>
      </c>
      <c r="E89">
        <f>SUM($D$2:D89)</f>
      </c>
      <c r="F89">
        <f>E89/Assumptions!$B$5/3600</f>
      </c>
    </row>
    <row r="90">
      <c r="A90">
        <v>89</v>
      </c>
      <c r="B90">
        <f>A90*5</f>
      </c>
      <c r="C90">
        <f>Assumptions!$B$6*A90^2*(1+Assumptions!$B$7*(A90/100)^Assumptions!$B$8)</f>
      </c>
      <c r="D90">
        <v>3300000</v>
      </c>
      <c r="E90">
        <f>SUM($D$2:D90)</f>
      </c>
      <c r="F90">
        <f>E90/Assumptions!$B$5/3600</f>
      </c>
    </row>
    <row r="91">
      <c r="A91">
        <v>90</v>
      </c>
      <c r="B91">
        <f>A91*5</f>
      </c>
      <c r="C91">
        <f>Assumptions!$B$6*A91^2*(1+Assumptions!$B$7*(A91/100)^Assumptions!$B$8)</f>
      </c>
      <c r="D91">
        <v>3500000</v>
      </c>
      <c r="E91">
        <f>SUM($D$2:D91)</f>
      </c>
      <c r="F91">
        <f>E91/Assumptions!$B$5/3600</f>
      </c>
    </row>
    <row r="92">
      <c r="A92">
        <v>91</v>
      </c>
      <c r="B92">
        <f>A92*5</f>
      </c>
      <c r="C92">
        <f>Assumptions!$B$6*A92^2*(1+Assumptions!$B$7*(A92/100)^Assumptions!$B$8)</f>
      </c>
      <c r="D92">
        <v>3700000</v>
      </c>
      <c r="E92">
        <f>SUM($D$2:D92)</f>
      </c>
      <c r="F92">
        <f>E92/Assumptions!$B$5/3600</f>
      </c>
    </row>
    <row r="93">
      <c r="A93">
        <v>92</v>
      </c>
      <c r="B93">
        <f>A93*5</f>
      </c>
      <c r="C93">
        <f>Assumptions!$B$6*A93^2*(1+Assumptions!$B$7*(A93/100)^Assumptions!$B$8)</f>
      </c>
      <c r="D93">
        <v>3900000</v>
      </c>
      <c r="E93">
        <f>SUM($D$2:D93)</f>
      </c>
      <c r="F93">
        <f>E93/Assumptions!$B$5/3600</f>
      </c>
    </row>
    <row r="94">
      <c r="A94">
        <v>93</v>
      </c>
      <c r="B94">
        <f>A94*5</f>
      </c>
      <c r="C94">
        <f>Assumptions!$B$6*A94^2*(1+Assumptions!$B$7*(A94/100)^Assumptions!$B$8)</f>
      </c>
      <c r="D94">
        <v>4200000</v>
      </c>
      <c r="E94">
        <f>SUM($D$2:D94)</f>
      </c>
      <c r="F94">
        <f>E94/Assumptions!$B$5/3600</f>
      </c>
    </row>
    <row r="95">
      <c r="A95">
        <v>94</v>
      </c>
      <c r="B95">
        <f>A95*5</f>
      </c>
      <c r="C95">
        <f>Assumptions!$B$6*A95^2*(1+Assumptions!$B$7*(A95/100)^Assumptions!$B$8)</f>
      </c>
      <c r="D95">
        <v>4400000</v>
      </c>
      <c r="E95">
        <f>SUM($D$2:D95)</f>
      </c>
      <c r="F95">
        <f>E95/Assumptions!$B$5/3600</f>
      </c>
    </row>
    <row r="96">
      <c r="A96">
        <v>95</v>
      </c>
      <c r="B96">
        <f>A96*5</f>
      </c>
      <c r="C96">
        <f>Assumptions!$B$6*A96^2*(1+Assumptions!$B$7*(A96/100)^Assumptions!$B$8)</f>
      </c>
      <c r="D96">
        <v>4600000</v>
      </c>
      <c r="E96">
        <f>SUM($D$2:D96)</f>
      </c>
      <c r="F96">
        <f>E96/Assumptions!$B$5/3600</f>
      </c>
    </row>
    <row r="97">
      <c r="A97">
        <v>96</v>
      </c>
      <c r="B97">
        <f>A97*5</f>
      </c>
      <c r="C97">
        <f>Assumptions!$B$6*A97^2*(1+Assumptions!$B$7*(A97/100)^Assumptions!$B$8)</f>
      </c>
      <c r="D97">
        <v>4900000</v>
      </c>
      <c r="E97">
        <f>SUM($D$2:D97)</f>
      </c>
      <c r="F97">
        <f>E97/Assumptions!$B$5/3600</f>
      </c>
    </row>
    <row r="98">
      <c r="A98">
        <v>97</v>
      </c>
      <c r="B98">
        <f>A98*5</f>
      </c>
      <c r="C98">
        <f>Assumptions!$B$6*A98^2*(1+Assumptions!$B$7*(A98/100)^Assumptions!$B$8)</f>
      </c>
      <c r="D98">
        <v>5100000</v>
      </c>
      <c r="E98">
        <f>SUM($D$2:D98)</f>
      </c>
      <c r="F98">
        <f>E98/Assumptions!$B$5/3600</f>
      </c>
    </row>
    <row r="99">
      <c r="A99">
        <v>98</v>
      </c>
      <c r="B99">
        <f>A99*5</f>
      </c>
      <c r="C99">
        <f>Assumptions!$B$6*A99^2*(1+Assumptions!$B$7*(A99/100)^Assumptions!$B$8)</f>
      </c>
      <c r="D99">
        <v>5400000</v>
      </c>
      <c r="E99">
        <f>SUM($D$2:D99)</f>
      </c>
      <c r="F99">
        <f>E99/Assumptions!$B$5/3600</f>
      </c>
    </row>
    <row r="100">
      <c r="A100">
        <v>99</v>
      </c>
      <c r="B100">
        <f>A100*5</f>
      </c>
      <c r="C100">
        <f>Assumptions!$B$6*A100^2*(1+Assumptions!$B$7*(A100/100)^Assumptions!$B$8)</f>
      </c>
      <c r="D100">
        <v>5700000</v>
      </c>
      <c r="E100">
        <f>SUM($D$2:D100)</f>
      </c>
      <c r="F100">
        <f>E100/Assumptions!$B$5/3600</f>
      </c>
    </row>
    <row r="101">
      <c r="A101">
        <v>100</v>
      </c>
      <c r="B101">
        <f>A101*5</f>
      </c>
      <c r="C101">
        <f>Assumptions!$B$6*A101^2*(1+Assumptions!$B$7*(A101/100)^Assumptions!$B$8)</f>
      </c>
      <c r="D101">
        <v>6000000</v>
      </c>
      <c r="E101">
        <f>SUM($D$2:D101)</f>
      </c>
      <c r="F101">
        <f>E101/Assumptions!$B$5/3600</f>
      </c>
    </row>
  </sheetData>
  <autoFilter ref="A1:F101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14" customWidth="1"/>
    <col min="4" max="4" width="18" customWidth="1"/>
  </cols>
  <sheetData>
    <row r="1">
      <c r="A1" t="inlineStr" s="1">
        <is>
          <t>UpgradeLevel</t>
        </is>
      </c>
      <c r="B1" t="inlineStr" s="1">
        <is>
          <t>UnlockedPads</t>
        </is>
      </c>
      <c r="C1" t="inlineStr" s="1">
        <is>
          <t>Price</t>
        </is>
      </c>
      <c r="D1" t="inlineStr" s="1">
        <is>
          <t>CumulativePrice</t>
        </is>
      </c>
    </row>
    <row r="2">
      <c r="A2">
        <v>1</v>
      </c>
      <c r="B2" t="inlineStr">
        <is>
          <t>2/5</t>
        </is>
      </c>
      <c r="C2">
        <v>10000</v>
      </c>
      <c r="D2">
        <f>SUM($C$2:C2)</f>
      </c>
    </row>
    <row r="3">
      <c r="A3">
        <v>2</v>
      </c>
      <c r="B3" t="inlineStr">
        <is>
          <t>3/5</t>
        </is>
      </c>
      <c r="C3">
        <v>150000</v>
      </c>
      <c r="D3">
        <f>SUM($C$2:C3)</f>
      </c>
    </row>
    <row r="4">
      <c r="A4">
        <v>3</v>
      </c>
      <c r="B4" t="inlineStr">
        <is>
          <t>4/5</t>
        </is>
      </c>
      <c r="C4">
        <v>1000000</v>
      </c>
      <c r="D4">
        <f>SUM($C$2:C4)</f>
      </c>
    </row>
    <row r="5">
      <c r="A5">
        <v>4</v>
      </c>
      <c r="B5" t="inlineStr">
        <is>
          <t>5/5</t>
        </is>
      </c>
      <c r="C5">
        <v>5000000</v>
      </c>
      <c r="D5">
        <f>SUM($C$2:C5)</f>
      </c>
    </row>
  </sheetData>
  <autoFilter ref="A1:D5"/>
</worksheet>
</file>

<file path=xl/worksheets/sheet8.xml><?xml version="1.0" encoding="utf-8"?>
<worksheet xmlns="http://schemas.openxmlformats.org/spreadsheetml/2006/main" xmlns:r="http://schemas.openxmlformats.org/officeDocument/2006/relationships">
  <dimension ref="A1:H7"/>
  <sheetViews>
    <sheetView workbookViewId="0">
      <pane ySplit="1" topLeftCell="A2" activePane="bottomLeft" state="frozen"/>
    </sheetView>
  </sheetViews>
  <cols>
    <col min="1" max="1" width="12" customWidth="1"/>
    <col min="2" max="2" width="14" customWidth="1"/>
    <col min="3" max="3" width="16" customWidth="1"/>
    <col min="4" max="4" width="18" customWidth="1"/>
    <col min="5" max="5" width="18" customWidth="1"/>
    <col min="6" max="6" width="15" customWidth="1"/>
    <col min="7" max="7" width="16" customWidth="1"/>
    <col min="8" max="8" width="14" customWidth="1"/>
  </cols>
  <sheetData>
    <row r="1">
      <c r="A1" t="inlineStr" s="1">
        <is>
          <t>RebirthTier</t>
        </is>
      </c>
      <c r="B1" t="inlineStr" s="1">
        <is>
          <t>CurrentCost</t>
        </is>
      </c>
      <c r="C1" t="inlineStr" s="1">
        <is>
          <t>AnchorPetCount</t>
        </is>
      </c>
      <c r="D1" t="inlineStr" s="1">
        <is>
          <t>AnchorPetName</t>
        </is>
      </c>
      <c r="E1" t="inlineStr" s="1">
        <is>
          <t>AnchorPetEarnRate</t>
        </is>
      </c>
      <c r="F1" t="inlineStr" s="1">
        <is>
          <t>HoursRequired</t>
        </is>
      </c>
      <c r="G1" t="inlineStr" s="1">
        <is>
          <t>FormulaCost</t>
        </is>
      </c>
      <c r="H1" t="inlineStr" s="1">
        <is>
          <t>CostDelta</t>
        </is>
      </c>
    </row>
    <row r="2">
      <c r="A2">
        <v>1</v>
      </c>
      <c r="B2">
        <v>100000</v>
      </c>
      <c r="C2">
        <v>1</v>
      </c>
      <c r="D2" t="inlineStr">
        <is>
          <t>GoldenRetriver</t>
        </is>
      </c>
      <c r="E2">
        <v>24</v>
      </c>
      <c r="F2">
        <v>1</v>
      </c>
      <c r="G2">
        <f>C2*E2*F2*3600</f>
      </c>
      <c r="H2">
        <f>B2-G2</f>
      </c>
    </row>
    <row r="3">
      <c r="A3">
        <v>2</v>
      </c>
      <c r="B3">
        <v>500000</v>
      </c>
      <c r="C3">
        <v>2</v>
      </c>
      <c r="D3" t="inlineStr">
        <is>
          <t>Lizard</t>
        </is>
      </c>
      <c r="E3">
        <v>40</v>
      </c>
      <c r="F3">
        <v>2</v>
      </c>
      <c r="G3">
        <f>C3*E3*F3*3600</f>
      </c>
      <c r="H3">
        <f>B3-G3</f>
      </c>
    </row>
    <row r="4">
      <c r="A4">
        <v>3</v>
      </c>
      <c r="B4">
        <v>5000000</v>
      </c>
      <c r="C4">
        <v>3</v>
      </c>
      <c r="D4" t="inlineStr">
        <is>
          <t>Ostrich</t>
        </is>
      </c>
      <c r="E4">
        <v>113</v>
      </c>
      <c r="F4">
        <v>4</v>
      </c>
      <c r="G4">
        <f>C4*E4*F4*3600</f>
      </c>
      <c r="H4">
        <f>B4-G4</f>
      </c>
    </row>
    <row r="5">
      <c r="A5">
        <v>4</v>
      </c>
      <c r="B5">
        <v>20000000</v>
      </c>
      <c r="C5">
        <v>4</v>
      </c>
      <c r="D5" t="inlineStr">
        <is>
          <t>Gorilla</t>
        </is>
      </c>
      <c r="E5">
        <v>228</v>
      </c>
      <c r="F5">
        <v>6</v>
      </c>
      <c r="G5">
        <f>C5*E5*F5*3600</f>
      </c>
      <c r="H5">
        <f>B5-G5</f>
      </c>
    </row>
    <row r="6">
      <c r="A6">
        <v>5</v>
      </c>
      <c r="B6">
        <v>50000000</v>
      </c>
      <c r="C6">
        <v>5</v>
      </c>
      <c r="D6" t="inlineStr">
        <is>
          <t>Snake</t>
        </is>
      </c>
      <c r="E6">
        <v>395</v>
      </c>
      <c r="F6">
        <v>8</v>
      </c>
      <c r="G6">
        <f>C6*E6*F6*3600</f>
      </c>
      <c r="H6">
        <f>B6-G6</f>
      </c>
    </row>
    <row r="7">
      <c r="A7">
        <v>6</v>
      </c>
      <c r="B7">
        <v>200000000</v>
      </c>
      <c r="C7">
        <v>6</v>
      </c>
      <c r="D7" t="inlineStr">
        <is>
          <t>T-Rex</t>
        </is>
      </c>
      <c r="E7">
        <v>800</v>
      </c>
      <c r="F7">
        <v>10</v>
      </c>
      <c r="G7">
        <f>C7*E7*F7*3600</f>
      </c>
      <c r="H7">
        <f>B7-G7</f>
      </c>
    </row>
  </sheetData>
  <autoFilter ref="A1:H7"/>
</worksheet>
</file>